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0b450a35b94e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初选" sheetId="1" r:id="Reaa976bfcb384f33"/>
    <x:sheet xmlns:r="http://schemas.openxmlformats.org/officeDocument/2006/relationships" name="整机评估" sheetId="2" r:id="R755c7e51a8e7435f"/>
    <x:sheet xmlns:r="http://schemas.openxmlformats.org/officeDocument/2006/relationships" name="先行验证" sheetId="3" r:id="R042799bb87a74c75"/>
    <x:sheet xmlns:r="http://schemas.openxmlformats.org/officeDocument/2006/relationships" name="资源预算" sheetId="4" r:id="Rf3faf7d800e345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&quot;¥&quot;#,##0.00"/>
    <x:numFmt numFmtId="202" formatCode="0.00"/>
    <x:numFmt numFmtId="203" formatCode="0.0%"/>
    <x:numFmt numFmtId="204" formatCode="#,##0"/>
    <x:numFmt numFmtId="205" formatCode="0.00%"/>
  </x:numFmts>
  <x:fonts count="8">
    <x:font>
      <x:sz val="11"/>
      <x:name val="Carlito"/>
    </x:font>
    <x:font>
      <x:sz val="11"/>
      <x:color rgb="FF18202B"/>
      <x:name val="Arial"/>
    </x:font>
    <x:font>
      <x:b/>
      <x:sz val="17"/>
      <x:color rgb="FF18202B"/>
      <x:name val="Arial"/>
    </x:font>
    <x:font>
      <x:sz val="11"/>
      <x:color rgb="FF606B78"/>
      <x:name val="Arial"/>
    </x:font>
    <x:font>
      <x:b/>
      <x:sz val="11"/>
      <x:color rgb="FFFFFFFF"/>
      <x:name val="Arial"/>
    </x:font>
    <x:font>
      <x:sz val="10"/>
      <x:color rgb="FF355F81"/>
      <x:name val="Arial"/>
    </x:font>
    <x:font>
      <x:b/>
      <x:sz val="11"/>
      <x:color rgb="FF18202B"/>
      <x:name val="Arial"/>
    </x:font>
    <x:font>
      <x:b/>
      <x:sz val="1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63445"/>
      </x:patternFill>
    </x:fill>
    <x:fill>
      <x:patternFill patternType="solid">
        <x:fgColor rgb="FFF4F6F8"/>
      </x:patternFill>
    </x:fill>
    <x:fill>
      <x:patternFill patternType="solid">
        <x:fgColor rgb="FFFFF2CC"/>
      </x:patternFill>
    </x:fill>
    <x:fill>
      <x:patternFill patternType="solid">
        <x:fgColor rgb="FFEDF3F8"/>
      </x:patternFill>
    </x:fill>
  </x:fills>
  <x:borders count="5">
    <x:border/>
    <x:border>
      <x:bottom style="thin">
        <x:color rgb="FFCED5DD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2" fillId="0" borderId="1" xfId="0" applyNumberFormat="1" applyFont="1" applyFill="1" applyBorder="1" applyAlignment="1">
      <x:alignment vertical="top" wrapText="0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horizontal="center" vertical="top" wrapText="1"/>
    </x:xf>
    <x:xf numFmtId="200" fontId="1" fillId="0" borderId="0" xfId="0" applyNumberFormat="1" applyFont="1" applyFill="1" applyBorder="1" applyAlignment="1">
      <x:alignment horizontal="center"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202" fontId="1" fillId="3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2" fontId="1" fillId="3" borderId="0" xfId="0" applyNumberFormat="1" applyFont="1" applyFill="1" applyBorder="1" applyAlignment="1">
      <x:alignment horizontal="center" vertical="top" wrapText="1"/>
    </x:xf>
    <x:xf numFmtId="202" fontId="1" fillId="0" borderId="0" xfId="0" applyNumberFormat="1" applyFont="1" applyFill="1" applyBorder="1" applyAlignment="1">
      <x:alignment horizontal="center" vertical="top" wrapText="1"/>
    </x:xf>
    <x:xf numFmtId="202" fontId="1" fillId="4" borderId="0" xfId="0" applyNumberFormat="1" applyFont="1" applyFill="1" applyBorder="1" applyAlignment="1">
      <x:alignment horizontal="center" vertical="top" wrapText="1"/>
    </x:xf>
    <x:xf numFmtId="202" fontId="1" fillId="5" borderId="0" xfId="0" applyNumberFormat="1" applyFont="1" applyFill="1" applyBorder="1" applyAlignment="1">
      <x:alignment horizontal="center" vertical="top" wrapText="1"/>
    </x:xf>
    <x:xf numFmtId="203" fontId="1" fillId="4" borderId="0" xfId="0" applyNumberFormat="1" applyFont="1" applyFill="1" applyBorder="1" applyAlignment="1">
      <x:alignment horizontal="center" vertical="top" wrapText="1"/>
    </x:xf>
    <x:xf numFmtId="203" fontId="1" fillId="5" borderId="0" xfId="0" applyNumberFormat="1" applyFont="1" applyFill="1" applyBorder="1" applyAlignment="1">
      <x:alignment horizontal="center" vertical="top" wrapText="1"/>
    </x:xf>
    <x:xf numFmtId="204" fontId="1" fillId="4" borderId="0" xfId="0" applyNumberFormat="1" applyFont="1" applyFill="1" applyBorder="1" applyAlignment="1">
      <x:alignment horizontal="center" vertical="top" wrapText="1"/>
    </x:xf>
    <x:xf numFmtId="204" fontId="1" fillId="5" borderId="0" xfId="0" applyNumberFormat="1" applyFont="1" applyFill="1" applyBorder="1" applyAlignment="1">
      <x:alignment horizontal="center" vertical="top" wrapText="1"/>
    </x:xf>
    <x:xf numFmtId="204" fontId="1" fillId="3" borderId="0" xfId="0" applyNumberFormat="1" applyFont="1" applyFill="1" applyBorder="1" applyAlignment="1">
      <x:alignment horizontal="center" vertical="top" wrapText="1"/>
    </x:xf>
    <x:xf numFmtId="0" fontId="7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5" fontId="1" fillId="0" borderId="0" xfId="0" applyNumberFormat="1" applyFont="1" applyFill="1" applyBorder="1" applyAlignment="1">
      <x:alignment vertical="top" wrapText="1"/>
    </x:xf>
    <x:xf numFmtId="205" fontId="1" fillId="5" borderId="0" xfId="0" applyNumberFormat="1" applyFont="1" applyFill="1" applyBorder="1" applyAlignment="1">
      <x:alignment vertical="top" wrapText="1"/>
    </x:xf>
    <x:xf numFmtId="202" fontId="1" fillId="5" borderId="0" xfId="0" applyNumberFormat="1" applyFont="1" applyFill="1" applyBorder="1" applyAlignment="1">
      <x:alignment vertical="top" wrapText="1"/>
    </x:xf>
    <x:xf numFmtId="205" fontId="1" fillId="5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37b9112ba643f9" /><Relationship Type="http://schemas.openxmlformats.org/officeDocument/2006/relationships/theme" Target="/xl/theme/theme1.xml" Id="R7087805a5a9644d4" /><Relationship Type="http://schemas.openxmlformats.org/officeDocument/2006/relationships/sharedStrings" Target="/xl/sharedStrings.xml" Id="R2d88517e1817494d" /><Relationship Type="http://schemas.openxmlformats.org/officeDocument/2006/relationships/worksheet" Target="/xl/worksheets/sheet1.xml" Id="Reaa976bfcb384f33" /><Relationship Type="http://schemas.openxmlformats.org/officeDocument/2006/relationships/worksheet" Target="/xl/worksheets/sheet2.xml" Id="R755c7e51a8e7435f" /><Relationship Type="http://schemas.openxmlformats.org/officeDocument/2006/relationships/worksheet" Target="/xl/worksheets/sheet3.xml" Id="R042799bb87a74c75" /><Relationship Type="http://schemas.openxmlformats.org/officeDocument/2006/relationships/worksheet" Target="/xl/worksheets/sheet4.xml" Id="Rf3faf7d800e3457c" /></Relationships>
</file>

<file path=xl/tables/table1.xml><?xml version="1.0" encoding="utf-8"?>
<x:table xmlns:x="http://schemas.openxmlformats.org/spreadsheetml/2006/main" id="1" name="WatchBOM" displayName="WatchBOM" ref="A5:L35" headerRowCount="1" totalsRowCount="0" totalsRowShown="0">
  <x:autoFilter ref="A5:L35"/>
  <x:tableColumns count="12">
    <x:tableColumn id="1" name="编号"/>
    <x:tableColumn id="2" name="模块"/>
    <x:tableColumn id="3" name="候选型号 / 规格"/>
    <x:tableColumn id="4" name="单机用量"/>
    <x:tableColumn id="5" name="接口 / 电源"/>
    <x:tableColumn id="6" name="封装 / 外形"/>
    <x:tableColumn id="7" name="用途与选型依据"/>
    <x:tableColumn id="8" name="采用前必须确认"/>
    <x:tableColumn id="9" name="采购安排"/>
    <x:tableColumn id="10" name="含税单价&#10;元"/>
    <x:tableColumn id="11" name="小计&#10;元"/>
    <x:tableColumn id="12" name="官方来源 / 依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ystemAssessment" displayName="SystemAssessment" ref="A5:E19" headerRowCount="1" totalsRowCount="0" totalsRowShown="0">
  <x:autoFilter ref="A5:E19"/>
  <x:tableColumns count="5">
    <x:tableColumn id="1" name="项目"/>
    <x:tableColumn id="2" name="建议"/>
    <x:tableColumn id="3" name="依据与边界"/>
    <x:tableColumn id="4" name="对方案的影响 / 验证要求"/>
    <x:tableColumn id="5" name="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totypeList" displayName="PrototypeList" ref="A5:H12" headerRowCount="1" totalsRowCount="0" totalsRowShown="0">
  <x:autoFilter ref="A5:H12"/>
  <x:tableColumns count="8">
    <x:tableColumn id="1" name="编号"/>
    <x:tableColumn id="2" name="用途"/>
    <x:tableColumn id="3" name="型号 / 项目"/>
    <x:tableColumn id="4" name="数量"/>
    <x:tableColumn id="5" name="安排"/>
    <x:tableColumn id="6" name="选择理由"/>
    <x:tableColumn id="7" name="核对事项"/>
    <x:tableColumn id="8" name="来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ourceBudget" displayName="ResourceBudget" ref="A5:D38" headerRowCount="1" totalsRowCount="0" totalsRowShown="0">
  <x:autoFilter ref="A5:D38"/>
  <x:tableColumns count="4">
    <x:tableColumn id="1" name="参数 / 结果"/>
    <x:tableColumn id="2" name="值"/>
    <x:tableColumn id="3" name="单位"/>
    <x:tableColumn id="4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b0d98d829648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575add7c0ff41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5c6225b56a140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c4f757c919048e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.75" hidden="0" customWidth="1"/>
    <x:col min="2" max="2" width="15" hidden="0" customWidth="1"/>
    <x:col min="3" max="3" width="28.1299991607666" hidden="0" customWidth="1"/>
    <x:col min="4" max="4" width="10" hidden="0" customWidth="1"/>
    <x:col min="5" max="5" width="23.75" hidden="0" customWidth="1"/>
    <x:col min="6" max="6" width="24.3799991607666" hidden="0" customWidth="1"/>
    <x:col min="7" max="7" width="35" hidden="0" customWidth="1"/>
    <x:col min="8" max="8" width="41.25" hidden="0" customWidth="1"/>
    <x:col min="9" max="9" width="21.8799991607666" hidden="0" customWidth="1"/>
    <x:col min="10" max="10" width="13.130000114440918" hidden="0" customWidth="1"/>
    <x:col min="11" max="11" width="13.130000114440918" hidden="0" customWidth="1"/>
    <x:col min="12" max="12" width="55" hidden="0" customWidth="1"/>
  </x:cols>
  <x:sheetData>
    <x:row r="1" ht="25.5" customHeight="1">
      <x:c r="A1" s="6" t="str">
        <x:v>自研智能手表整机 BOM 初选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2" ht="18" customHeight="1">
      <x:c r="A2" s="9" t="str">
        <x:v>v0.2，2026-09-11。屏幕、电子器件和外壳全部重新选型；先完成界面核心整机。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3" ht="18" customHeight="1">
      <x:c r="A3" s="9" t="str">
        <x:v>价格空白表示未询价；组合件、无源器件与机构尚需展开，不能直接用于贴片采购。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4" ht="7.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0" customHeight="1">
      <x:c r="A5" s="14" t="str">
        <x:v>编号</x:v>
      </x:c>
      <x:c r="B5" s="15" t="str">
        <x:v>模块</x:v>
      </x:c>
      <x:c r="C5" s="15" t="str">
        <x:v>候选型号 / 规格</x:v>
      </x:c>
      <x:c r="D5" s="15" t="str">
        <x:v>单机用量</x:v>
      </x:c>
      <x:c r="E5" s="15" t="str">
        <x:v>接口 / 电源</x:v>
      </x:c>
      <x:c r="F5" s="15" t="str">
        <x:v>封装 / 外形</x:v>
      </x:c>
      <x:c r="G5" s="15" t="str">
        <x:v>用途与选型依据</x:v>
      </x:c>
      <x:c r="H5" s="15" t="str">
        <x:v>采用前必须确认</x:v>
      </x:c>
      <x:c r="I5" s="15" t="str">
        <x:v>采购安排</x:v>
      </x:c>
      <x:c r="J5" s="15" t="str">
        <x:v>含税单价
元</x:v>
      </x:c>
      <x:c r="K5" s="15" t="str">
        <x:v>小计
元</x:v>
      </x:c>
      <x:c r="L5" s="16" t="str">
        <x:v>官方来源 / 依据</x:v>
      </x:c>
    </x:row>
    <x:row r="6" ht="69" customHeight="1">
      <x:c r="A6" s="17" t="str">
        <x:v>B01</x:v>
      </x:c>
      <x:c r="B6" s="17" t="str">
        <x:v>主控 / PSRAM</x:v>
      </x:c>
      <x:c r="C6" s="17" t="str">
        <x:v>SF32LB52JUD6</x:v>
      </x:c>
      <x:c r="D6" s="20" t="n">
        <x:v>1</x:v>
      </x:c>
      <x:c r="E6" s="17" t="str">
        <x:v>3.3 V；QSPI / I²C / SPI / 双模蓝牙</x:v>
      </x:c>
      <x:c r="F6" s="17" t="str">
        <x:v>QFN68L；7 × 7 × 0.85 mm；0.35 mm 间距</x:v>
      </x:c>
      <x:c r="G6" s="17" t="str">
        <x:v>SiFli；240 MHz 应用核、2D/2.5D 图形加速，合封 16 MB PSRAM。固件建议采用 SiFli SDK + LVGL。</x:v>
      </x:c>
      <x:c r="H6" s="17" t="str">
        <x:v>先与 B13 测真实 UI。复杂全屏动画未达标时，整组升级 SF32LB58x + MIPI-DSI 屏；两种主控不是原位替换。</x:v>
      </x:c>
      <x:c r="I6" s="17" t="str">
        <x:v>先买开发套装验证</x:v>
      </x:c>
      <x:c r="J6" s="24"/>
      <x:c r="K6" s="25" t="str">
        <x:f>IF(AND(ISNUMBER(D6),ISNUMBER(J6)),D6*J6,"")</x:f>
      </x:c>
      <x:c r="L6" s="26" t="str">
        <x:v>https://downloads.sifli.com/user%20manual/DS5202-SF32LB52X-%E8%8A%AF%E7%89%87%E6%8A%80%E6%9C%AF%E8%A7%84%E6%A0%BC%E4%B9%A6%20V0p2p5.pdf</x:v>
      </x:c>
    </x:row>
    <x:row r="7" ht="69" customHeight="1">
      <x:c r="A7" s="3" t="str">
        <x:v>B02</x:v>
      </x:c>
      <x:c r="B7" s="3" t="str">
        <x:v>程序 / 图形存储</x:v>
      </x:c>
      <x:c r="C7" s="3" t="str">
        <x:v>W25Q128JVPIQ</x:v>
      </x:c>
      <x:c r="D7" s="21" t="n">
        <x:v>1</x:v>
      </x:c>
      <x:c r="E7" s="3" t="str">
        <x:v>2.7–3.6 V；SPI / Dual / Quad</x:v>
      </x:c>
      <x:c r="F7" s="3" t="str">
        <x:v>WSON-8；6 × 5 mm</x:v>
      </x:c>
      <x:c r="G7" s="3" t="str">
        <x:v>Winbond；128 Mbit = 16 MB，用于程序、字体、图标与升级分区。</x:v>
      </x:c>
      <x:c r="H7" s="3" t="str">
        <x:v>核对 MPI 电平、启动方式、SDK Flash 支持及 6 × 5 mm 占位；若面积不足再选小封装等效料。</x:v>
      </x:c>
      <x:c r="I7" s="3" t="str">
        <x:v>主控与布局确定后采购</x:v>
      </x:c>
      <x:c r="J7" s="24"/>
      <x:c r="K7" s="25" t="str">
        <x:f>IF(AND(ISNUMBER(D7),ISNUMBER(J7)),D7*J7,"")</x:f>
      </x:c>
      <x:c r="L7" s="27" t="str">
        <x:v>https://www.winbond.com/export/sites/winbond/product-selection-guide/file/2025-Product-Selection-Guide-Winbond-Code-Storage-Flash-Memory.pdf</x:v>
      </x:c>
    </x:row>
    <x:row r="8" ht="69" customHeight="1">
      <x:c r="A8" s="17" t="str">
        <x:v>B03</x:v>
      </x:c>
      <x:c r="B8" s="17" t="str">
        <x:v>主晶体</x:v>
      </x:c>
      <x:c r="C8" s="17" t="str">
        <x:v>E1SB48E001G00E</x:v>
      </x:c>
      <x:c r="D8" s="20" t="n">
        <x:v>1</x:v>
      </x:c>
      <x:c r="E8" s="17" t="str">
        <x:v>48 MHz；CL 8.8 pF</x:v>
      </x:c>
      <x:c r="F8" s="17" t="str">
        <x:v>2016 公制；2.0 × 1.6 mm</x:v>
      </x:c>
      <x:c r="G8" s="17" t="str">
        <x:v>Hosonic；取自 SiFli 硬件指南推荐清单。</x:v>
      </x:c>
      <x:c r="H8" s="17" t="str">
        <x:v>负载电容及布局采用所选芯片版本的推荐设计；具体尾码与供货核对。</x:v>
      </x:c>
      <x:c r="I8" s="17" t="str">
        <x:v>可随主控少量备料</x:v>
      </x:c>
      <x:c r="J8" s="24"/>
      <x:c r="K8" s="25" t="str">
        <x:f>IF(AND(ISNUMBER(D8),ISNUMBER(J8)),D8*J8,"")</x:f>
      </x:c>
      <x:c r="L8" s="26" t="str">
        <x:v>https://wiki.sifli.com/hardware/SF32LB52B-E-G-J-HW-Application.html</x:v>
      </x:c>
    </x:row>
    <x:row r="9" ht="69" customHeight="1">
      <x:c r="A9" s="3" t="str">
        <x:v>B04</x:v>
      </x:c>
      <x:c r="B9" s="3" t="str">
        <x:v>RTC 晶体</x:v>
      </x:c>
      <x:c r="C9" s="3" t="str">
        <x:v>ETST00327000LE</x:v>
      </x:c>
      <x:c r="D9" s="21" t="n">
        <x:v>1</x:v>
      </x:c>
      <x:c r="E9" s="3" t="str">
        <x:v>32.768 kHz；CL 7 pF</x:v>
      </x:c>
      <x:c r="F9" s="3" t="str">
        <x:v>3215 公制；3.2 × 1.5 mm</x:v>
      </x:c>
      <x:c r="G9" s="3" t="str">
        <x:v>Hosonic；低速计时与休眠时钟候选，来自 SiFli 推荐清单。</x:v>
      </x:c>
      <x:c r="H9" s="3" t="str">
        <x:v>核对高度、ESR、负载与实际板上校准；缺料时按原规格替代。</x:v>
      </x:c>
      <x:c r="I9" s="3" t="str">
        <x:v>可随主控少量备料</x:v>
      </x:c>
      <x:c r="J9" s="24"/>
      <x:c r="K9" s="25" t="str">
        <x:f>IF(AND(ISNUMBER(D9),ISNUMBER(J9)),D9*J9,"")</x:f>
      </x:c>
      <x:c r="L9" s="27" t="str">
        <x:v>https://wiki.sifli.com/hardware/SF32LB52B-E-G-J-HW-Application.html</x:v>
      </x:c>
    </x:row>
    <x:row r="10" ht="69" customHeight="1">
      <x:c r="A10" s="17" t="str">
        <x:v>B05</x:v>
      </x:c>
      <x:c r="B10" s="17" t="str">
        <x:v>充电 / Power Path</x:v>
      </x:c>
      <x:c r="C10" s="17" t="str">
        <x:v>BQ25180YBGR</x:v>
      </x:c>
      <x:c r="D10" s="20" t="n">
        <x:v>1</x:v>
      </x:c>
      <x:c r="E10" s="17" t="str">
        <x:v>1 节锂电；I²C；首轮使用受控 5 V 输入</x:v>
      </x:c>
      <x:c r="F10" s="17" t="str">
        <x:v>DSBGA-8；1.783 × 0.983 mm</x:v>
      </x:c>
      <x:c r="G10" s="17" t="str">
        <x:v>TI；充电终止电压可配置，带电源路径、温度管理和关机模式。</x:v>
      </x:c>
      <x:c r="H10" s="17" t="str">
        <x:v>按 B16 成品电池包正式规格配置终止电压、电流、NTC 和保护。芯片的 1 A 上限不是小电池的允许充电电流。</x:v>
      </x:c>
      <x:c r="I10" s="17" t="str">
        <x:v>电池参数确定后采购</x:v>
      </x:c>
      <x:c r="J10" s="24"/>
      <x:c r="K10" s="25" t="str">
        <x:f>IF(AND(ISNUMBER(D10),ISNUMBER(J10)),D10*J10,"")</x:f>
      </x:c>
      <x:c r="L10" s="26" t="str">
        <x:v>https://www.ti.com/product/BQ25180</x:v>
      </x:c>
    </x:row>
    <x:row r="11" ht="69" customHeight="1">
      <x:c r="A11" s="3" t="str">
        <x:v>B06</x:v>
      </x:c>
      <x:c r="B11" s="3" t="str">
        <x:v>主 3.3 V 电源</x:v>
      </x:c>
      <x:c r="C11" s="3" t="str">
        <x:v>TPS63031DSKR</x:v>
      </x:c>
      <x:c r="D11" s="21" t="n">
        <x:v>1</x:v>
      </x:c>
      <x:c r="E11" s="3" t="str">
        <x:v>输入 1.8–5.5 V；固定输出 3.3 V</x:v>
      </x:c>
      <x:c r="F11" s="3" t="str">
        <x:v>WSON-10；DSK 封装图为准</x:v>
      </x:c>
      <x:c r="G11" s="3" t="str">
        <x:v>TI；升降压，用于 B05 SYS 到主控和 3.3 V 外设供电。</x:v>
      </x:c>
      <x:c r="H11" s="3" t="str">
        <x:v>按最低电池电压下的实际负载选电感和电容；1 A 是开关电流等级，不是保证的输出电流。</x:v>
      </x:c>
      <x:c r="I11" s="3" t="str">
        <x:v>电源预算确定后采购</x:v>
      </x:c>
      <x:c r="J11" s="24"/>
      <x:c r="K11" s="25" t="str">
        <x:f>IF(AND(ISNUMBER(D11),ISNUMBER(J11)),D11*J11,"")</x:f>
      </x:c>
      <x:c r="L11" s="27" t="str">
        <x:v>https://www.ti.com/product/TPS63031/part-details/TPS63031DSKR</x:v>
      </x:c>
    </x:row>
    <x:row r="12" ht="69" customHeight="1">
      <x:c r="A12" s="17" t="str">
        <x:v>B07</x:v>
      </x:c>
      <x:c r="B12" s="17" t="str">
        <x:v>可选 1.8 V 电源</x:v>
      </x:c>
      <x:c r="C12" s="17" t="str">
        <x:v>TPS62840DLCR</x:v>
      </x:c>
      <x:c r="D12" s="20"/>
      <x:c r="E12" s="17" t="str">
        <x:v>降压；拟输出 1.8 V，选配</x:v>
      </x:c>
      <x:c r="F12" s="17" t="str">
        <x:v>VSON-HR-8；1.5 × 2.0 mm</x:v>
      </x:c>
      <x:c r="G12" s="17" t="str">
        <x:v>仅当新屏总成或扩展外设确需独立 1.8 V 电源时装配；先核对总成供电，避免重复稳压。</x:v>
      </x:c>
      <x:c r="H12" s="17" t="str">
        <x:v>与主控电压域和供电能力一起确认；PPG 扩展也可使用其配套 PMIC 的 1.8 V 输出。</x:v>
      </x:c>
      <x:c r="I12" s="17" t="str">
        <x:v>选配，暂不采购</x:v>
      </x:c>
      <x:c r="J12" s="24"/>
      <x:c r="K12" s="25" t="str">
        <x:f>IF(AND(ISNUMBER(D12),ISNUMBER(J12)),D12*J12,"")</x:f>
      </x:c>
      <x:c r="L12" s="26" t="str">
        <x:v>https://www.ti.com/product/TPS62840/part-details/TPS62840DLCR</x:v>
      </x:c>
    </x:row>
    <x:row r="13" ht="69" customHeight="1">
      <x:c r="A13" s="3" t="str">
        <x:v>B08</x:v>
      </x:c>
      <x:c r="B13" s="3" t="str">
        <x:v>抬腕 / 运动检测</x:v>
      </x:c>
      <x:c r="C13" s="3" t="str">
        <x:v>LIS2DW12TR</x:v>
      </x:c>
      <x:c r="D13" s="21" t="n">
        <x:v>1</x:v>
      </x:c>
      <x:c r="E13" s="3" t="str">
        <x:v>I²C 或 SPI；建议接 INT 唤醒</x:v>
      </x:c>
      <x:c r="F13" s="3" t="str">
        <x:v>LGA-12；2.0 × 2.0 × 0.7 mm</x:v>
      </x:c>
      <x:c r="G13" s="3" t="str">
        <x:v>ST；低功耗三轴加速度计，支持抬腕检测、运动唤醒和计步算法输入。</x:v>
      </x:c>
      <x:c r="H13" s="3" t="str">
        <x:v>固定器件坐标方向、确认 I²C 地址和中断脚；抬腕和计步仍需软件算法调试。</x:v>
      </x:c>
      <x:c r="I13" s="3" t="str">
        <x:v>可先买评估模块验证</x:v>
      </x:c>
      <x:c r="J13" s="24"/>
      <x:c r="K13" s="25" t="str">
        <x:f>IF(AND(ISNUMBER(D13),ISNUMBER(J13)),D13*J13,"")</x:f>
      </x:c>
      <x:c r="L13" s="27" t="str">
        <x:v>https://www.st.com/resource/en/datasheet/lis2dw12.pdf</x:v>
      </x:c>
    </x:row>
    <x:row r="14" ht="69" customHeight="1">
      <x:c r="A14" s="17" t="str">
        <x:v>B09</x:v>
      </x:c>
      <x:c r="B14" s="17" t="str">
        <x:v>振动驱动</x:v>
      </x:c>
      <x:c r="C14" s="17" t="str">
        <x:v>DRV2605LYZFR</x:v>
      </x:c>
      <x:c r="D14" s="20" t="n">
        <x:v>1</x:v>
      </x:c>
      <x:c r="E14" s="17" t="str">
        <x:v>2–5.2 V；I²C；LRA / ERM</x:v>
      </x:c>
      <x:c r="F14" s="17" t="str">
        <x:v>DSBGA-9；YZF 封装图为准</x:v>
      </x:c>
      <x:c r="G14" s="17" t="str">
        <x:v>TI；闭环振动驱动候选，支持启动和制动控制。</x:v>
      </x:c>
      <x:c r="H14" s="17" t="str">
        <x:v>与 B19 LRA 配套，按额定 RMS、过驱动和制动参数配置，在实际壳体中校准。</x:v>
      </x:c>
      <x:c r="I14" s="17" t="str">
        <x:v>与 LRA 一起备样</x:v>
      </x:c>
      <x:c r="J14" s="24"/>
      <x:c r="K14" s="25" t="str">
        <x:f>IF(AND(ISNUMBER(D14),ISNUMBER(J14)),D14*J14,"")</x:f>
      </x:c>
      <x:c r="L14" s="26" t="str">
        <x:v>https://www.ti.com/product/DRV2605L/part-details/DRV2605LYZFR</x:v>
      </x:c>
    </x:row>
    <x:row r="15" ht="69" customHeight="1">
      <x:c r="A15" s="3" t="str">
        <x:v>B10</x:v>
      </x:c>
      <x:c r="B15" s="3" t="str">
        <x:v>电量计</x:v>
      </x:c>
      <x:c r="C15" s="3" t="str">
        <x:v>MAX17055ETB+T</x:v>
      </x:c>
      <x:c r="D15" s="21" t="n">
        <x:v>1</x:v>
      </x:c>
      <x:c r="E15" s="3" t="str">
        <x:v>单节电池；I²C；配电流采样电阻</x:v>
      </x:c>
      <x:c r="F15" s="3" t="str">
        <x:v>TDFN；以 ETB 封装图为准</x:v>
      </x:c>
      <x:c r="G15" s="3" t="str">
        <x:v>可佩戴版建议装配，用完整充放电校验电量显示。</x:v>
      </x:c>
      <x:c r="H15" s="3" t="str">
        <x:v>需核对电池电压范围、容量、终止电流和模型参数；省略时仅做 ADC 电压估计。</x:v>
      </x:c>
      <x:c r="I15" s="3" t="str">
        <x:v>随电池包备样</x:v>
      </x:c>
      <x:c r="J15" s="24"/>
      <x:c r="K15" s="25" t="str">
        <x:f>IF(AND(ISNUMBER(D15),ISNUMBER(J15)),D15*J15,"")</x:f>
      </x:c>
      <x:c r="L15" s="27" t="str">
        <x:v>https://www.analog.com/en/products/max17055.html</x:v>
      </x:c>
    </x:row>
    <x:row r="16" ht="69" customHeight="1">
      <x:c r="A16" s="17" t="str">
        <x:v>B11</x:v>
      </x:c>
      <x:c r="B16" s="17" t="str">
        <x:v>电量计采样电阻</x:v>
      </x:c>
      <x:c r="C16" s="17" t="str">
        <x:v>10 mΩ；1%；额定功率按峰值电流确定</x:v>
      </x:c>
      <x:c r="D16" s="20" t="n">
        <x:v>1</x:v>
      </x:c>
      <x:c r="E16" s="17" t="str">
        <x:v>与 B10 配套；Kelvin 取样</x:v>
      </x:c>
      <x:c r="F16" s="17" t="str">
        <x:v>封装待电流 / 高度预算</x:v>
      </x:c>
      <x:c r="G16" s="17" t="str">
        <x:v>低阻采样电阻，仅装配 B10 时需要。</x:v>
      </x:c>
      <x:c r="H16" s="17" t="str">
        <x:v>阻值与量程按 MAX17055 配置匹配；考虑走线电阻和充放电峰值。</x:v>
      </x:c>
      <x:c r="I16" s="17" t="str">
        <x:v>随电量计定型</x:v>
      </x:c>
      <x:c r="J16" s="24"/>
      <x:c r="K16" s="25" t="str">
        <x:f>IF(AND(ISNUMBER(D16),ISNUMBER(J16)),D16*J16,"")</x:f>
      </x:c>
      <x:c r="L16" s="26" t="str">
        <x:v>https://www.analog.com/en/products/max17055.html</x:v>
      </x:c>
    </x:row>
    <x:row r="17" ht="69" customHeight="1">
      <x:c r="A17" s="3" t="str">
        <x:v>B12</x:v>
      </x:c>
      <x:c r="B17" s="3" t="str">
        <x:v>接口 ESD</x:v>
      </x:c>
      <x:c r="C17" s="3" t="str">
        <x:v>TPD4E05U06DQAR</x:v>
      </x:c>
      <x:c r="D17" s="21"/>
      <x:c r="E17" s="3" t="str">
        <x:v>4 通道；低电容保护</x:v>
      </x:c>
      <x:c r="F17" s="3" t="str">
        <x:v>USON-10；DQA 封装图为准</x:v>
      </x:c>
      <x:c r="G17" s="3" t="str">
        <x:v>TI；用于选定的外露信号接口，最终颗数按信号数量确定。</x:v>
      </x:c>
      <x:c r="H17" s="3" t="str">
        <x:v>核对工作电压、钳位与被保护 IC 耐压；不将信号 ESD 管当成电池过压保护。</x:v>
      </x:c>
      <x:c r="I17" s="3" t="str">
        <x:v>接口数量确定后采购</x:v>
      </x:c>
      <x:c r="J17" s="24"/>
      <x:c r="K17" s="25" t="str">
        <x:f>IF(AND(ISNUMBER(D17),ISNUMBER(J17)),D17*J17,"")</x:f>
      </x:c>
      <x:c r="L17" s="27" t="str">
        <x:v>https://www.ti.com/product/TPD4E05U06/part-details/TPD4E05U06DQAR</x:v>
      </x:c>
    </x:row>
    <x:row r="18" ht="69" customHeight="1">
      <x:c r="A18" s="17" t="str">
        <x:v>B13</x:v>
      </x:c>
      <x:c r="B18" s="17" t="str">
        <x:v>显示 / 触摸总成</x:v>
      </x:c>
      <x:c r="C18" s="17" t="str">
        <x:v>ZC-A1D85W-010</x:v>
      </x:c>
      <x:c r="D18" s="20" t="n">
        <x:v>1</x:v>
      </x:c>
      <x:c r="E18" s="17" t="str">
        <x:v>1.85 英寸 AMOLED；390 × 450；QSPI + I²C</x:v>
      </x:c>
      <x:c r="F18" s="17" t="str">
        <x:v>圆角矩形；盖板、FPC 与厚度按正式图纸</x:v>
      </x:c>
      <x:c r="G18" s="17" t="str">
        <x:v>SiFli 官方配套屏；CO5300AF-01 显示、FT6146-M00 触摸、BV6802W 电源。</x:v>
      </x:c>
      <x:c r="H18" s="17" t="str">
        <x:v>先核对交付版本、初始化、最大时钟、扫描频率、TE 和电源。获取完整外形图再设计壳体，不套用其他 1.85 英寸屏尺寸。</x:v>
      </x:c>
      <x:c r="I18" s="17" t="str">
        <x:v>先买配套屏样品</x:v>
      </x:c>
      <x:c r="J18" s="24"/>
      <x:c r="K18" s="25" t="str">
        <x:f>IF(AND(ISNUMBER(D18),ISNUMBER(J18)),D18*J18,"")</x:f>
      </x:c>
      <x:c r="L18" s="26" t="str">
        <x:v>https://wiki.sifli.com/en/board/sf32lb52x/SF-DevKit-LCM-Adapter.html</x:v>
      </x:c>
    </x:row>
    <x:row r="19" ht="69" customHeight="1">
      <x:c r="A19" s="3" t="str">
        <x:v>B14</x:v>
      </x:c>
      <x:c r="B19" s="3" t="str">
        <x:v>屏幕电源 / 触摸配套</x:v>
      </x:c>
      <x:c r="C19" s="3" t="str">
        <x:v>BV6802W / FT6146-M00 等随 B13 核对</x:v>
      </x:c>
      <x:c r="D19" s="21"/>
      <x:c r="E19" s="3" t="str">
        <x:v>按总成的 VCI / IOVCC / TP 供电要求</x:v>
      </x:c>
      <x:c r="F19" s="3" t="str">
        <x:v>优先由屏幕总成包含</x:v>
      </x:c>
      <x:c r="G19" s="3" t="str">
        <x:v>核对总成内已集成器件、外部去耦和上电控制。AMOLED 没有 TFT 背光，但仍需偏压。</x:v>
      </x:c>
      <x:c r="H19" s="3" t="str">
        <x:v>不重复购买已包含的芯片；根据实物交付电路补齐电源和接口适配。</x:v>
      </x:c>
      <x:c r="I19" s="3" t="str">
        <x:v>总成包含项不单独下单</x:v>
      </x:c>
      <x:c r="J19" s="24"/>
      <x:c r="K19" s="25" t="str">
        <x:f>IF(AND(ISNUMBER(D19),ISNUMBER(J19)),D19*J19,"")</x:f>
      </x:c>
      <x:c r="L19" s="27" t="str">
        <x:v>https://wiki.sifli.com/en/board/sf32lb52x/SF-DevKit-LCM-Adapter.html</x:v>
      </x:c>
    </x:row>
    <x:row r="20" ht="69" customHeight="1">
      <x:c r="A20" s="17" t="str">
        <x:v>B15</x:v>
      </x:c>
      <x:c r="B20" s="17" t="str">
        <x:v>表冠角度传感器</x:v>
      </x:c>
      <x:c r="C20" s="17" t="str">
        <x:v>TMAG5273A1QDBVR</x:v>
      </x:c>
      <x:c r="D20" s="20" t="n">
        <x:v>1</x:v>
      </x:c>
      <x:c r="E20" s="17" t="str">
        <x:v>1.7–3.6 V；I²C + INT</x:v>
      </x:c>
      <x:c r="F20" s="17" t="str">
        <x:v>SOT-23-6；含引脚约 2.9 × 2.8 mm</x:v>
      </x:c>
      <x:c r="G20" s="17" t="str">
        <x:v>3D Hall 与角度计算，配径向磁化磁铁实现连续旋转检测。</x:v>
      </x:c>
      <x:c r="H20" s="17" t="str">
        <x:v>磁铁、间距、旋转平面和按压位移需标定。检查 LRA、充电磁铁干扰；低功耗电流随采样方式变化。</x:v>
      </x:c>
      <x:c r="I20" s="17" t="str">
        <x:v>先做表冠样件</x:v>
      </x:c>
      <x:c r="J20" s="24"/>
      <x:c r="K20" s="25" t="str">
        <x:f>IF(AND(ISNUMBER(D20),ISNUMBER(J20)),D20*J20,"")</x:f>
      </x:c>
      <x:c r="L20" s="26" t="str">
        <x:v>https://www.ti.com/lit/ds/symlink/tmag5273.pdf</x:v>
      </x:c>
    </x:row>
    <x:row r="21" ht="69" customHeight="1">
      <x:c r="A21" s="3" t="str">
        <x:v>B16</x:v>
      </x:c>
      <x:c r="B21" s="3" t="str">
        <x:v>保护电池包</x:v>
      </x:c>
      <x:c r="C21" s="3" t="str">
        <x:v>以 EEMB LP372435TB 为电芯的成品包</x:v>
      </x:c>
      <x:c r="D21" s="21" t="n">
        <x:v>1</x:v>
      </x:c>
      <x:c r="E21" s="3" t="str">
        <x:v>3.7 V 标称；300 mAh；要求 PCM + NTC</x:v>
      </x:c>
      <x:c r="F21" s="3" t="str">
        <x:v>裸电芯约 24.5 × 36 × 4.0 mm；成品包更大</x:v>
      </x:c>
      <x:c r="G21" s="3" t="str">
        <x:v>由供应商组包，包含保护电路、绝缘、引线和温度检测。</x:v>
      </x:c>
      <x:c r="H21" s="3" t="str">
        <x:v>官网型号是裸电芯。成品包订单号、充电参数、峰值电流及最终尺寸须确认；不要按裸电芯尺寸封死电池仓。</x:v>
      </x:c>
      <x:c r="I21" s="3" t="str">
        <x:v>询带保护电池包样品</x:v>
      </x:c>
      <x:c r="J21" s="24"/>
      <x:c r="K21" s="25" t="str">
        <x:f>IF(AND(ISNUMBER(D21),ISNUMBER(J21)),D21*J21,"")</x:f>
      </x:c>
      <x:c r="L21" s="27" t="str">
        <x:v>https://www.eemb.com/product-166</x:v>
      </x:c>
    </x:row>
    <x:row r="22" ht="69" customHeight="1">
      <x:c r="A22" s="17" t="str">
        <x:v>B17</x:v>
      </x:c>
      <x:c r="B22" s="17" t="str">
        <x:v>电池温度检测</x:v>
      </x:c>
      <x:c r="C22" s="17" t="str">
        <x:v>随 B16 的 NTC 与 B05 TS 网络</x:v>
      </x:c>
      <x:c r="D22" s="20"/>
      <x:c r="E22" s="17" t="str">
        <x:v>阻值与 B 值按电池包规格</x:v>
      </x:c>
      <x:c r="F22" s="17" t="str">
        <x:v>贴近电芯；引线绝缘</x:v>
      </x:c>
      <x:c r="G22" s="17" t="str">
        <x:v>成品包已包含 NTC 时不重复采购，主板补齐匹配网络。</x:v>
      </x:c>
      <x:c r="H22" s="17" t="str">
        <x:v>按电池允许充电温度设置并测试，不能用 MCU 芯片温度替代电芯温度。</x:v>
      </x:c>
      <x:c r="I22" s="17" t="str">
        <x:v>随电池包定型</x:v>
      </x:c>
      <x:c r="J22" s="24"/>
      <x:c r="K22" s="25" t="str">
        <x:f>IF(AND(ISNUMBER(D22),ISNUMBER(J22)),D22*J22,"")</x:f>
      </x:c>
      <x:c r="L22" s="26" t="str">
        <x:v>https://www.ti.com/product/BQ25180</x:v>
      </x:c>
    </x:row>
    <x:row r="23" ht="69" customHeight="1">
      <x:c r="A23" s="3" t="str">
        <x:v>B18</x:v>
      </x:c>
      <x:c r="B23" s="3" t="str">
        <x:v>表冠按压 / 侧键</x:v>
      </x:c>
      <x:c r="C23" s="3" t="str">
        <x:v>SKSCLDE010</x:v>
      </x:c>
      <x:c r="D23" s="21" t="n">
        <x:v>2</x:v>
      </x:c>
      <x:c r="E23" s="3" t="str">
        <x:v>GPIO 按键；侧向触发</x:v>
      </x:c>
      <x:c r="F23" s="3" t="str">
        <x:v>3.5 × 3.55 × 1.25 mm；行程 0.2 mm</x:v>
      </x:c>
      <x:c r="G23" s="3" t="str">
        <x:v>ALPS Alpine 1.6 N 侧按开关，分别用于表冠按压与侧键。</x:v>
      </x:c>
      <x:c r="H23" s="3" t="str">
        <x:v>设计轴向导向、机械限位和防尘密封，避免开关承担过载；固件需消抖。</x:v>
      </x:c>
      <x:c r="I23" s="3" t="str">
        <x:v>结合机构样件备样</x:v>
      </x:c>
      <x:c r="J23" s="24"/>
      <x:c r="K23" s="25" t="str">
        <x:f>IF(AND(ISNUMBER(D23),ISNUMBER(J23)),D23*J23,"")</x:f>
      </x:c>
      <x:c r="L23" s="27" t="str">
        <x:v>https://tech.alpsalpine.com/e/products/category/tact-switch/sub/02/series/sksc/</x:v>
      </x:c>
    </x:row>
    <x:row r="24" ht="69" customHeight="1">
      <x:c r="A24" s="17" t="str">
        <x:v>B19</x:v>
      </x:c>
      <x:c r="B24" s="17" t="str">
        <x:v>线性振动器</x:v>
      </x:c>
      <x:c r="C24" s="17" t="str">
        <x:v>Precision Microdrives C10-100</x:v>
      </x:c>
      <x:c r="D24" s="20" t="n">
        <x:v>1</x:v>
      </x:c>
      <x:c r="E24" s="17" t="str">
        <x:v>LRA；约 175 Hz；配 B09</x:v>
      </x:c>
      <x:c r="F24" s="17" t="str">
        <x:v>直径 10 mm；厚度约 3.7 mm</x:v>
      </x:c>
      <x:c r="G24" s="17" t="str">
        <x:v>有正式规格的 LRA，评估点击、表冠滚动与通知振动。</x:v>
      </x:c>
      <x:c r="H24" s="17" t="str">
        <x:v>按批次规格限制 RMS 和过驱动，在实际壳体质量与固定方式下校准；不能仅凭器件保证 Taptic Engine 触感。</x:v>
      </x:c>
      <x:c r="I24" s="17" t="str">
        <x:v>与驱动一起备样</x:v>
      </x:c>
      <x:c r="J24" s="24"/>
      <x:c r="K24" s="25" t="str">
        <x:f>IF(AND(ISNUMBER(D24),ISNUMBER(J24)),D24*J24,"")</x:f>
      </x:c>
      <x:c r="L24" s="26" t="str">
        <x:v>https://www.precisionmicrodrives.com/datasheets/C10-100%20-%20datasheet-006.pdf</x:v>
      </x:c>
    </x:row>
    <x:row r="25" ht="69" customHeight="1">
      <x:c r="A25" s="3" t="str">
        <x:v>B20</x:v>
      </x:c>
      <x:c r="B25" s="3" t="str">
        <x:v>充电接入 / 底座</x:v>
      </x:c>
      <x:c r="C25" s="3" t="str">
        <x:v>新设计 5 V 两触点磁吸底座</x:v>
      </x:c>
      <x:c r="D25" s="21" t="n">
        <x:v>1</x:v>
      </x:c>
      <x:c r="E25" s="3" t="str">
        <x:v>表体触点 + 底座 Pogo Pin；限流 5 V</x:v>
      </x:c>
      <x:c r="F25" s="3" t="str">
        <x:v>触点行程、磁铁与排水按结构设计</x:v>
      </x:c>
      <x:c r="G25" s="3" t="str">
        <x:v>首版选接触充电，减少接收线圈、控制芯片和隔磁片占用。</x:v>
      </x:c>
      <x:c r="H25" s="3" t="str">
        <x:v>不是 Apple 磁充协议。检查短路、反接、腐蚀及磁铁对 B15 的干扰；Pogo Pin 料号随行程确定。</x:v>
      </x:c>
      <x:c r="I25" s="3" t="str">
        <x:v>结构后制作</x:v>
      </x:c>
      <x:c r="J25" s="24"/>
      <x:c r="K25" s="25" t="str">
        <x:f>IF(AND(ISNUMBER(D25),ISNUMBER(J25)),D25*J25,"")</x:f>
      </x:c>
      <x:c r="L25" s="27"/>
    </x:row>
    <x:row r="26" ht="69" customHeight="1">
      <x:c r="A26" s="17" t="str">
        <x:v>B21</x:v>
      </x:c>
      <x:c r="B26" s="17" t="str">
        <x:v>2.4 GHz 天线</x:v>
      </x:c>
      <x:c r="C26" s="17" t="str">
        <x:v>Johanson 2450AT18A0100001E</x:v>
      </x:c>
      <x:c r="D26" s="20" t="n">
        <x:v>1</x:v>
      </x:c>
      <x:c r="E26" s="17" t="str">
        <x:v>2.4–2.5 GHz；匹配到 RF 口</x:v>
      </x:c>
      <x:c r="F26" s="17" t="str">
        <x:v>1206；地与净空按厂商布局</x:v>
      </x:c>
      <x:c r="G26" s="17" t="str">
        <x:v>用于双模蓝牙，作为独立器件选型基线。</x:v>
      </x:c>
      <x:c r="H26" s="17" t="str">
        <x:v>芯片本体小不代表净空小；保留非金属射频区域，完整封壳和佩戴后重新匹配与测连接。</x:v>
      </x:c>
      <x:c r="I26" s="17" t="str">
        <x:v>RF 布局后备样</x:v>
      </x:c>
      <x:c r="J26" s="24"/>
      <x:c r="K26" s="25" t="str">
        <x:f>IF(AND(ISNUMBER(D26),ISNUMBER(J26)),D26*J26,"")</x:f>
      </x:c>
      <x:c r="L26" s="26" t="str">
        <x:v>https://www.johansontechnology.com/products/antennas/rf-antennas/2450at18a0100001e/</x:v>
      </x:c>
    </x:row>
    <x:row r="27" ht="69" customHeight="1">
      <x:c r="A27" s="3" t="str">
        <x:v>B22</x:v>
      </x:c>
      <x:c r="B27" s="3" t="str">
        <x:v>显示 / 小板连接器</x:v>
      </x:c>
      <x:c r="C27" s="3" t="str">
        <x:v>按新屏总成和新小板接口选座</x:v>
      </x:c>
      <x:c r="D27" s="21"/>
      <x:c r="E27" s="3" t="str">
        <x:v>针数、间距、接触面由图纸决定</x:v>
      </x:c>
      <x:c r="F27" s="3" t="str">
        <x:v>高度与 FPC 弯折共同核算</x:v>
      </x:c>
      <x:c r="G27" s="3" t="str">
        <x:v>显示使用总成适配的连接器，小板按新设计选连接方式。</x:v>
      </x:c>
      <x:c r="H27" s="3" t="str">
        <x:v>开发板 22p 接口不是裸屏排线定义，不能直接照抄作为装机屏座。</x:v>
      </x:c>
      <x:c r="I27" s="3" t="str">
        <x:v>总成图纸后定 MPN</x:v>
      </x:c>
      <x:c r="J27" s="24"/>
      <x:c r="K27" s="25" t="str">
        <x:f>IF(AND(ISNUMBER(D27),ISNUMBER(J27)),D27*J27,"")</x:f>
      </x:c>
      <x:c r="L27" s="27" t="str">
        <x:v>https://wiki.sifli.com/en/board/sf32lb52x/SF-DevKit-LCM-Adapter.html</x:v>
      </x:c>
    </x:row>
    <x:row r="28" ht="69" customHeight="1">
      <x:c r="A28" s="17" t="str">
        <x:v>B23</x:v>
      </x:c>
      <x:c r="B28" s="17" t="str">
        <x:v>内部 FPC / 表冠小板</x:v>
      </x:c>
      <x:c r="C28" s="17" t="str">
        <x:v>按新壳结构定制</x:v>
      </x:c>
      <x:c r="D28" s="20"/>
      <x:c r="E28" s="17" t="str">
        <x:v>I²C / GPIO / 供电；显示链路另核对</x:v>
      </x:c>
      <x:c r="F28" s="17" t="str">
        <x:v>厚度、弯曲半径、插拔方向待 CAD</x:v>
      </x:c>
      <x:c r="G28" s="17" t="str">
        <x:v>连接表冠、主板和屏幕，保持组件可装配。</x:v>
      </x:c>
      <x:c r="H28" s="17" t="str">
        <x:v>先短线与机构样件验证，再做薄 FPC；投产前展开独立图号和用量。</x:v>
      </x:c>
      <x:c r="I28" s="17" t="str">
        <x:v>机构验证后打样</x:v>
      </x:c>
      <x:c r="J28" s="24"/>
      <x:c r="K28" s="25" t="str">
        <x:f>IF(AND(ISNUMBER(D28),ISNUMBER(J28)),D28*J28,"")</x:f>
      </x:c>
      <x:c r="L28" s="26"/>
    </x:row>
    <x:row r="29" ht="69" customHeight="1">
      <x:c r="A29" s="3" t="str">
        <x:v>B24</x:v>
      </x:c>
      <x:c r="B29" s="3" t="str">
        <x:v>主板 PCB</x:v>
      </x:c>
      <x:c r="C29" s="3" t="str">
        <x:v>自研 4–6 层；板厚初估 0.8 mm</x:v>
      </x:c>
      <x:c r="D29" s="21" t="n">
        <x:v>1</x:v>
      </x:c>
      <x:c r="E29" s="3" t="str">
        <x:v>最终层叠 / 阻抗由布线和加工确定</x:v>
      </x:c>
      <x:c r="F29" s="3" t="str">
        <x:v>轮廓随屏、电池和机构布局设计</x:v>
      </x:c>
      <x:c r="G29" s="3" t="str">
        <x:v>首轮保留物理下载、电源测试点和分路电流测量位置。</x:v>
      </x:c>
      <x:c r="H29" s="3" t="str">
        <x:v>0.8 mm 是预算而非冻结参数；QFN 0.35 mm 与 DSBGA 需核实贴片厂工艺和过孔方案。</x:v>
      </x:c>
      <x:c r="I29" s="3" t="str">
        <x:v>UI 与结构验证后投板</x:v>
      </x:c>
      <x:c r="J29" s="24"/>
      <x:c r="K29" s="25" t="str">
        <x:f>IF(AND(ISNUMBER(D29),ISNUMBER(J29)),D29*J29,"")</x:f>
      </x:c>
      <x:c r="L29" s="27"/>
    </x:row>
    <x:row r="30" ht="69" customHeight="1">
      <x:c r="A30" s="17" t="str">
        <x:v>B25</x:v>
      </x:c>
      <x:c r="B30" s="17" t="str">
        <x:v>电源电感 / 功率电容</x:v>
      </x:c>
      <x:c r="C30" s="17" t="str">
        <x:v>跟随 B05 / B06 / B07 的参考电路</x:v>
      </x:c>
      <x:c r="D30" s="20"/>
      <x:c r="E30" s="17" t="str">
        <x:v>容量、感量、纹波和饱和电流待计算</x:v>
      </x:c>
      <x:c r="F30" s="17" t="str">
        <x:v>按高度预算选择</x:v>
      </x:c>
      <x:c r="G30" s="17" t="str">
        <x:v>覆盖电源环路和各电源输入 / 输出旁路。</x:v>
      </x:c>
      <x:c r="H30" s="17" t="str">
        <x:v>需按真实负载展开到独立位号、MPN 和数量；当前条目不是可投产的阻容清单。</x:v>
      </x:c>
      <x:c r="I30" s="17" t="str">
        <x:v>原理图完成后展开</x:v>
      </x:c>
      <x:c r="J30" s="24"/>
      <x:c r="K30" s="25" t="str">
        <x:f>IF(AND(ISNUMBER(D30),ISNUMBER(J30)),D30*J30,"")</x:f>
      </x:c>
      <x:c r="L30" s="26" t="str">
        <x:v>https://www.ti.com/product/TPS63031/part-details/TPS63031DSKR</x:v>
      </x:c>
    </x:row>
    <x:row r="31" ht="69" customHeight="1">
      <x:c r="A31" s="3" t="str">
        <x:v>B26</x:v>
      </x:c>
      <x:c r="B31" s="3" t="str">
        <x:v>去耦 / 上拉 / 串联电阻</x:v>
      </x:c>
      <x:c r="C31" s="3" t="str">
        <x:v>按 MCU / Flash / 接口参考设计展开</x:v>
      </x:c>
      <x:c r="D31" s="21"/>
      <x:c r="E31" s="3" t="str">
        <x:v>工作电压和总线速度决定数值</x:v>
      </x:c>
      <x:c r="F31" s="3" t="str">
        <x:v>优先可装配的小封装</x:v>
      </x:c>
      <x:c r="G31" s="3" t="str">
        <x:v>按各电源域和引脚要求放置；包含晶体预留电容位置。</x:v>
      </x:c>
      <x:c r="H31" s="3" t="str">
        <x:v>不要将一组“通用阻容包”视为最终 BOM；需核对启动脚、I²C 上拉及屏幕信号完整性。</x:v>
      </x:c>
      <x:c r="I31" s="3" t="str">
        <x:v>原理图完成后展开</x:v>
      </x:c>
      <x:c r="J31" s="24"/>
      <x:c r="K31" s="25" t="str">
        <x:f>IF(AND(ISNUMBER(D31),ISNUMBER(J31)),D31*J31,"")</x:f>
      </x:c>
      <x:c r="L31" s="27" t="str">
        <x:v>https://wiki.sifli.com/hardware/SF32LB52B-E-G-J-HW-Application.html</x:v>
      </x:c>
    </x:row>
    <x:row r="32" ht="69" customHeight="1">
      <x:c r="A32" s="17" t="str">
        <x:v>B27</x:v>
      </x:c>
      <x:c r="B32" s="17" t="str">
        <x:v>Flash / 屏幕电源开关</x:v>
      </x:c>
      <x:c r="C32" s="17" t="str">
        <x:v>按低功耗与启动要求预留</x:v>
      </x:c>
      <x:c r="D32" s="20"/>
      <x:c r="E32" s="17" t="str">
        <x:v>负载电流、漏电和使能电平待定</x:v>
      </x:c>
      <x:c r="F32" s="17" t="str">
        <x:v>按电源树和空间选择</x:v>
      </x:c>
      <x:c r="G32" s="17" t="str">
        <x:v>控制可关闭外设，降低关机漏电；避免外设反灌。</x:v>
      </x:c>
      <x:c r="H32" s="17" t="str">
        <x:v>Flash 断电控制需符合 SiFli Boot ROM 要求；料号和装配数量随电源树冻结。</x:v>
      </x:c>
      <x:c r="I32" s="17" t="str">
        <x:v>电源树完成后定型</x:v>
      </x:c>
      <x:c r="J32" s="24"/>
      <x:c r="K32" s="25" t="str">
        <x:f>IF(AND(ISNUMBER(D32),ISNUMBER(J32)),D32*J32,"")</x:f>
      </x:c>
      <x:c r="L32" s="26" t="str">
        <x:v>https://wiki.sifli.com/hardware/SF32LB52B-E-G-J-HW-Application.html</x:v>
      </x:c>
    </x:row>
    <x:row r="33" ht="69" customHeight="1">
      <x:c r="A33" s="3" t="str">
        <x:v>B28</x:v>
      </x:c>
      <x:c r="B33" s="3" t="str">
        <x:v>射频匹配无源器件</x:v>
      </x:c>
      <x:c r="C33" s="3" t="str">
        <x:v>按参考设计预留可调 π 网络</x:v>
      </x:c>
      <x:c r="D33" s="21"/>
      <x:c r="E33" s="3" t="str">
        <x:v>2.4 GHz；50 Ω 通路设计</x:v>
      </x:c>
      <x:c r="F33" s="3" t="str">
        <x:v>以射频参考布局为准</x:v>
      </x:c>
      <x:c r="G33" s="3" t="str">
        <x:v>匹配天线、馈线和外壳环境。</x:v>
      </x:c>
      <x:c r="H33" s="3" t="str">
        <x:v>元件值必须在完整外壳和电池状态下测定；不能由开发板元件值直接保证性能。</x:v>
      </x:c>
      <x:c r="I33" s="3" t="str">
        <x:v>射频验证后定值</x:v>
      </x:c>
      <x:c r="J33" s="24"/>
      <x:c r="K33" s="25" t="str">
        <x:f>IF(AND(ISNUMBER(D33),ISNUMBER(J33)),D33*J33,"")</x:f>
      </x:c>
      <x:c r="L33" s="27" t="str">
        <x:v>https://wiki.sifli.com/hardware/SF32LB52B-E-G-J-HW-Application.html</x:v>
      </x:c>
    </x:row>
    <x:row r="34" ht="69" customHeight="1">
      <x:c r="A34" s="17" t="str">
        <x:v>B29</x:v>
      </x:c>
      <x:c r="B34" s="17" t="str">
        <x:v>下载 / 调试触点</x:v>
      </x:c>
      <x:c r="C34" s="17" t="str">
        <x:v>板上测试点，配外部治具</x:v>
      </x:c>
      <x:c r="D34" s="20" t="n">
        <x:v>1</x:v>
      </x:c>
      <x:c r="E34" s="17" t="str">
        <x:v>GND / 参考电压 / SWD 或 UART / RESET</x:v>
      </x:c>
      <x:c r="F34" s="17" t="str">
        <x:v>测试点位置、间距随板确定</x:v>
      </x:c>
      <x:c r="G34" s="17" t="str">
        <x:v>首版保留可恢复下载路径和关键电源测试点。</x:v>
      </x:c>
      <x:c r="H34" s="17" t="str">
        <x:v>避免仅依赖蓝牙升级；触点可达性需在装配前确认。</x:v>
      </x:c>
      <x:c r="I34" s="17" t="str">
        <x:v>随 PCB 实现</x:v>
      </x:c>
      <x:c r="J34" s="24"/>
      <x:c r="K34" s="25" t="str">
        <x:f>IF(AND(ISNUMBER(D34),ISNUMBER(J34)),D34*J34,"")</x:f>
      </x:c>
      <x:c r="L34" s="26" t="str">
        <x:v>https://wiki.sifli.com/hardware/SF32LB52B-E-G-J-HW-Application.html</x:v>
      </x:c>
    </x:row>
    <x:row r="35" ht="69" customHeight="1">
      <x:c r="A35" s="3" t="str">
        <x:v>B30</x:v>
      </x:c>
      <x:c r="B35" s="3" t="str">
        <x:v>结构与装配附件</x:v>
      </x:c>
      <x:c r="C35" s="3" t="str">
        <x:v>自研壳、后盖、支架、表冠轴与磁铁；新购表带</x:v>
      </x:c>
      <x:c r="D35" s="21" t="n">
        <x:v>1</x:v>
      </x:c>
      <x:c r="E35" s="3" t="str">
        <x:v>机械图号、材料和数量待 CAD</x:v>
      </x:c>
      <x:c r="F35" s="3" t="str">
        <x:v>表体初估 46–48 × 40–42 × 13–15 mm</x:v>
      </x:c>
      <x:c r="G35" s="3" t="str">
        <x:v>先打印试装，围绕新屏、电池包设计。表带初选标准 22 mm 快拆接口。</x:v>
      </x:c>
      <x:c r="H35" s="3" t="str">
        <x:v>尺寸是包络假设，不是已验证 CAD；不含表冠和表带。需预留电池膨胀间隙、密封、螺柱、LRA 和天线净空。</x:v>
      </x:c>
      <x:c r="I35" s="3" t="str">
        <x:v>试装后定图纸与用量</x:v>
      </x:c>
      <x:c r="J35" s="24"/>
      <x:c r="K35" s="25" t="str">
        <x:f>IF(AND(ISNUMBER(D35),ISNUMBER(J35)),D35*J35,"")</x:f>
      </x:c>
      <x:c r="L35" s="27"/>
    </x:row>
    <x:row r="37" ht="33.75" customHeight="1">
      <x:c r="G37" s="29" t="str">
        <x:v>已填单价项目小计</x:v>
      </x:c>
      <x:c r="H37" s="29" t="str">
        <x:v>未报价、选配和待定项目未计入；不是整机总价。</x:v>
      </x:c>
      <x:c r="I37" s="29"/>
      <x:c r="J37" s="29"/>
      <x:c r="K37" s="30" t="str">
        <x:f>IF(COUNT(K6:K35)=0,"",SUM(K6:K35))</x:f>
      </x:c>
      <x:c r="L37" s="29"/>
    </x:row>
    <x:row r="39">
      <x:c r="A39" s="31" t="str">
        <x:v>库存和价格未确认；候选料号需经过屏幕兼容、供电和装配验证后才能冻结。</x:v>
      </x:c>
    </x:row>
  </x:sheetData>
  <x:pageMargins left="0.7" right="0.7" top="0.75" bottom="0.75" header="0.3" footer="0.3"/>
  <x:tableParts count="1">
    <x:tablePart xmlns:r="http://schemas.openxmlformats.org/officeDocument/2006/relationships" r:id="R51b0d98d8296485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.75" hidden="0" customWidth="1"/>
    <x:col min="2" max="2" width="30.6299991607666" hidden="0" customWidth="1"/>
    <x:col min="3" max="3" width="43.75" hidden="0" customWidth="1"/>
    <x:col min="4" max="4" width="55" hidden="0" customWidth="1"/>
    <x:col min="5" max="5" width="53.75" hidden="0" customWidth="1"/>
  </x:cols>
  <x:sheetData>
    <x:row r="1" ht="25.5" customHeight="1">
      <x:c r="A1" s="6" t="str">
        <x:v>整机可行性与扩展选型</x:v>
      </x:c>
      <x:c r="B1" s="7"/>
      <x:c r="C1" s="7"/>
      <x:c r="D1" s="7"/>
      <x:c r="E1" s="7"/>
    </x:row>
    <x:row r="2" ht="18" customHeight="1">
      <x:c r="A2" s="9" t="str">
        <x:v>围绕显示、交互、续航和装配联合设计电子与结构。</x:v>
      </x:c>
      <x:c r="B2" s="10"/>
      <x:c r="C2" s="10"/>
      <x:c r="D2" s="10"/>
      <x:c r="E2" s="10"/>
    </x:row>
    <x:row r="3" ht="18" customHeight="1">
      <x:c r="A3" s="9" t="str">
        <x:v>尺寸、效率与续航条件为设计假设，尚未完成实机测试。</x:v>
      </x:c>
      <x:c r="B3" s="10"/>
      <x:c r="C3" s="10"/>
      <x:c r="D3" s="10"/>
      <x:c r="E3" s="10"/>
    </x:row>
    <x:row r="4" ht="7.5" customHeight="1">
      <x:c r="A4" s="3"/>
      <x:c r="B4" s="3"/>
      <x:c r="C4" s="3"/>
      <x:c r="D4" s="3"/>
      <x:c r="E4" s="3"/>
    </x:row>
    <x:row r="5" ht="30" customHeight="1">
      <x:c r="A5" s="14" t="str">
        <x:v>项目</x:v>
      </x:c>
      <x:c r="B5" s="15" t="str">
        <x:v>建议</x:v>
      </x:c>
      <x:c r="C5" s="15" t="str">
        <x:v>依据与边界</x:v>
      </x:c>
      <x:c r="D5" s="15" t="str">
        <x:v>对方案的影响 / 验证要求</x:v>
      </x:c>
      <x:c r="E5" s="16" t="str">
        <x:v>来源</x:v>
      </x:c>
    </x:row>
    <x:row r="6" ht="69" customHeight="1">
      <x:c r="A6" s="17" t="str">
        <x:v>整机范围</x:v>
      </x:c>
      <x:c r="B6" s="17" t="str">
        <x:v>电子器件与外壳全部重新选型 / 设计</x:v>
      </x:c>
      <x:c r="C6" s="17" t="str">
        <x:v>本版覆盖界面核心整机；心率、GNSS 和通话为扩展候选。</x:v>
      </x:c>
      <x:c r="D6" s="17" t="str">
        <x:v>第一阶段实现显示、触摸、表冠、振动、抬腕、蓝牙与电池系统。</x:v>
      </x:c>
      <x:c r="E6" s="17" t="str">
        <x:v>需求范围；2026-09-11</x:v>
      </x:c>
    </x:row>
    <x:row r="7" ht="69" customHeight="1">
      <x:c r="A7" s="3" t="str">
        <x:v>主控选择</x:v>
      </x:c>
      <x:c r="B7" s="3" t="str">
        <x:v>先验证 SF32LB52JUD6；必要时升级 SF32LB58x</x:v>
      </x:c>
      <x:c r="C7" s="3" t="str">
        <x:v>SF52 有图形加速、PSRAM 与双模蓝牙；SF58 增加 MIPI-DSI 等显示接口。</x:v>
      </x:c>
      <x:c r="D7" s="3" t="str">
        <x:v>复杂全屏效果要求稳定 60 fps 时，优先评估 SF58 + 确认过的 MIPI 屏组合；不是原位替换。</x:v>
      </x:c>
      <x:c r="E7" s="3" t="str">
        <x:v>https://www.sifli.com/en/sf32lb58x</x:v>
      </x:c>
    </x:row>
    <x:row r="8" ht="69" customHeight="1">
      <x:c r="A8" s="17" t="str">
        <x:v>屏幕总成</x:v>
      </x:c>
      <x:c r="B8" s="17" t="str">
        <x:v>ZC-A1D85W-010，标准盖板优先</x:v>
      </x:c>
      <x:c r="C8" s="17" t="str">
        <x:v>官方已给出驱动、触摸与电源芯片，开发 BSP 有对应组合。</x:v>
      </x:c>
      <x:c r="D8" s="17" t="str">
        <x:v>先获取同版本外形图和完整电路。开发转接板不装入表体；定制曲面玻璃会增加贴合和打样工作。</x:v>
      </x:c>
      <x:c r="E8" s="17" t="str">
        <x:v>https://wiki.sifli.com/en/board/sf32lb52x/SF-DevKit-LCM-Adapter.html</x:v>
      </x:c>
    </x:row>
    <x:row r="9" ht="69" customHeight="1">
      <x:c r="A9" s="3" t="str">
        <x:v>界面性能</x:v>
      </x:c>
      <x:c r="B9" s="3" t="str">
        <x:v>用真实 UI 帧时间作选型门槛</x:v>
      </x:c>
      <x:c r="C9" s="3" t="str">
        <x:v>390 × 450 RGB565 单帧 351000 B；60 fps 需要 21.06 MB/s。官方默认 QSPI 50 MHz，理论 25 MB/s。</x:v>
      </x:c>
      <x:c r="D9" s="3" t="str">
        <x:v>需求占理论 84.24%。假设有效系数 70%，传输上限约 49.86 fps；局部更新有帮助，不能保证重转场全屏 60 fps。</x:v>
      </x:c>
      <x:c r="E9" s="3" t="str">
        <x:v>https://github.com/OpenSiFli/SiFli-SDK/blob/main/customer/peripherals/display/co5300/co5300.c</x:v>
      </x:c>
    </x:row>
    <x:row r="10" ht="69" customHeight="1">
      <x:c r="A10" s="17" t="str">
        <x:v>表冠体验</x:v>
      </x:c>
      <x:c r="B10" s="17" t="str">
        <x:v>TMAG5273 + 径向磁铁 + 侧按开关</x:v>
      </x:c>
      <x:c r="C10" s="17" t="str">
        <x:v>低摩擦轴、导向、按压限位及磁铁间距需要联合设计。</x:v>
      </x:c>
      <x:c r="D10" s="17" t="str">
        <x:v>无机械档位，滚动刻度由 LRA 反馈。测慢转、快转、换向、边按边转与充电底座磁干扰。</x:v>
      </x:c>
      <x:c r="E10" s="17" t="str">
        <x:v>https://www.ti.com/lit/ds/symlink/tmag5273.pdf</x:v>
      </x:c>
    </x:row>
    <x:row r="11" ht="69" customHeight="1">
      <x:c r="A11" s="3" t="str">
        <x:v>电池与续航</x:v>
      </x:c>
      <x:c r="B11" s="3" t="str">
        <x:v>300 mAh 保护电池包为初始容量</x:v>
      </x:c>
      <x:c r="C11" s="3" t="str">
        <x:v>LP372435TB 是裸电芯型号，成品包额外占据保护板、引线和绝缘空间。</x:v>
      </x:c>
      <x:c r="D11" s="3" t="str">
        <x:v>按 80% 可用容量，24 h 要平均电流 ≤10 mA；48 h 要 ≤5 mA。必须按电池侧测量并计入亮屏占空比。</x:v>
      </x:c>
      <x:c r="E11" s="3" t="str">
        <x:v>https://www.eemb.com/product-166</x:v>
      </x:c>
    </x:row>
    <x:row r="12" ht="69" customHeight="1">
      <x:c r="A12" s="17" t="str">
        <x:v>触感</x:v>
      </x:c>
      <x:c r="B12" s="17" t="str">
        <x:v>DRV2605L + C10-100</x:v>
      </x:c>
      <x:c r="C12" s="17" t="str">
        <x:v>马达直径约 10 mm、厚 3.7 mm，先考虑与电池并排避免叠高。</x:v>
      </x:c>
      <x:c r="D12" s="17" t="str">
        <x:v>闭环驱动、固定方式和整机重量共同决定触感，需佩戴样机评价。</x:v>
      </x:c>
      <x:c r="E12" s="17" t="str">
        <x:v>https://www.precisionmicrodrives.com/datasheets/C10-100%20-%20datasheet-006.pdf</x:v>
      </x:c>
    </x:row>
    <x:row r="13" ht="69" customHeight="1">
      <x:c r="A13" s="3" t="str">
        <x:v>充电</x:v>
      </x:c>
      <x:c r="B13" s="3" t="str">
        <x:v>首版用新设计 5 V 磁吸触点</x:v>
      </x:c>
      <x:c r="C13" s="3" t="str">
        <x:v>Pogo Pin 和磁铁配自制底座，BQ25180 管理充电与电源路径。</x:v>
      </x:c>
      <x:c r="D13" s="3" t="str">
        <x:v>无线充电后续需另加接收电路、线圈、隔磁片与热测试；当前不假设兼容 Apple 充电器。</x:v>
      </x:c>
      <x:c r="E13" s="3" t="str">
        <x:v>https://www.ti.com/product/BQ25180</x:v>
      </x:c>
    </x:row>
    <x:row r="14" ht="69" customHeight="1">
      <x:c r="A14" s="17" t="str">
        <x:v>结构包络</x:v>
      </x:c>
      <x:c r="B14" s="17" t="str">
        <x:v>初估 46–48 × 40–42 × 13–15 mm</x:v>
      </x:c>
      <x:c r="C14" s="17" t="str">
        <x:v>不含表冠和表带，是布局起点，不是已验证的最终尺寸。</x:v>
      </x:c>
      <x:c r="D14" s="17" t="str">
        <x:v>屏总成决定窗口，电池包和主板决定层叠。先做实际厚度的 1:1 试装，再精修外观与密封。</x:v>
      </x:c>
      <x:c r="E14" s="17" t="str">
        <x:v>工程假设；后续 CAD 与试装确认</x:v>
      </x:c>
    </x:row>
    <x:row r="15" ht="69" customHeight="1">
      <x:c r="A15" s="3" t="str">
        <x:v>天线与材料</x:v>
      </x:c>
      <x:c r="B15" s="3" t="str">
        <x:v>首版非金属壳或明确的 RF 窗口</x:v>
      </x:c>
      <x:c r="C15" s="3" t="str">
        <x:v>芯片天线需要厂商规定的净空和地；金属壳会影响辐射与匹配。</x:v>
      </x:c>
      <x:c r="D15" s="3" t="str">
        <x:v>完整屏、电池、后盖及佩戴状态下测匹配和连接；射频窗口需在结构初期预留。</x:v>
      </x:c>
      <x:c r="E15" s="3" t="str">
        <x:v>https://www.johansontechnology.com/products/antennas/rf-antennas/2450at18a0100001e/</x:v>
      </x:c>
    </x:row>
    <x:row r="16" ht="69" customHeight="1">
      <x:c r="A16" s="17" t="str">
        <x:v>心率 / 血氧扩展</x:v>
      </x:c>
      <x:c r="B16" s="17" t="str">
        <x:v>MAX30101 + MAX14750A，先做原始 PPG</x:v>
      </x:c>
      <x:c r="C16" s="17" t="str">
        <x:v>集成光学模块，参考电路提供独立 1.8 V 与 LED 电源。</x:v>
      </x:c>
      <x:c r="D16" s="17" t="str">
        <x:v>另做贴肤小板、遮光、光学窗、运动伪影和算法验证；不是接上 I²C 就能得到可靠腕部读数。</x:v>
      </x:c>
      <x:c r="E16" s="17" t="str">
        <x:v>https://www.analog.com/en/products/max30101.html</x:v>
      </x:c>
    </x:row>
    <x:row r="17" ht="69" customHeight="1">
      <x:c r="A17" s="3" t="str">
        <x:v>独立 GNSS 扩展</x:v>
      </x:c>
      <x:c r="B17" s="3" t="str">
        <x:v>u-blox MIA-M10Q-00B</x:v>
      </x:c>
      <x:c r="C17" s="3" t="str">
        <x:v>约 4.5 × 4.5 × 1.0 mm；UART / I²C，仍需独立 GNSS 天线与供电设计。</x:v>
      </x:c>
      <x:c r="D17" s="3" t="str">
        <x:v>按运动记录时段开启，单独测耗电和佩戴接收效果；芯片功耗不能代表整机定位模式。</x:v>
      </x:c>
      <x:c r="E17" s="3" t="str">
        <x:v>https://www.u-blox.com/en/product/mia-m10-series</x:v>
      </x:c>
    </x:row>
    <x:row r="18" ht="69" customHeight="1">
      <x:c r="A18" s="17" t="str">
        <x:v>音频 / 通话扩展</x:v>
      </x:c>
      <x:c r="B18" s="17" t="str">
        <x:v>片上 CODEC + TPA2011D1；MIC / 喇叭后定</x:v>
      </x:c>
      <x:c r="C18" s="17" t="str">
        <x:v>SF52 是双模蓝牙平台，官方有 HFP HF 示例，具备继续做蓝牙通话的基础。</x:v>
      </x:c>
      <x:c r="D18" s="17" t="str">
        <x:v>需要音频路由、回声抑制、声孔、声腔与手机兼容验证。当前是扩展评估，不是完整音频采购 BOM。</x:v>
      </x:c>
      <x:c r="E18" s="17" t="str">
        <x:v>https://docs.sifli.com/projects/sdk/latest/en/sf32lb52x/example/bt/hfp/README.html
https://www.ti.com/product/TPA2011D1</x:v>
      </x:c>
    </x:row>
    <x:row r="19" ht="69" customHeight="1">
      <x:c r="A19" s="3" t="str">
        <x:v>固件与边界</x:v>
      </x:c>
      <x:c r="B19" s="3" t="str">
        <x:v>SiFli SDK 对应 RTOS + LVGL + 自研 UI</x:v>
      </x:c>
      <x:c r="C19" s="3" t="str">
        <x:v>实现表盘、应用网格、通知、卡片、滚动动效；需接硬件加速并管理资源缓存。</x:v>
      </x:c>
      <x:c r="D19" s="3" t="str">
        <x:v>可重现主要界面和交互风格；运行自研固件，不能安装 watchOS。手机通知与数据同步仍需手机侧适配。</x:v>
      </x:c>
      <x:c r="E19" s="3" t="str">
        <x:v>https://www.sifli.com/en/xinpian</x:v>
      </x:c>
    </x:row>
  </x:sheetData>
  <x:pageMargins left="0.7" right="0.7" top="0.75" bottom="0.75" header="0.3" footer="0.3"/>
  <x:tableParts count="1">
    <x:tablePart xmlns:r="http://schemas.openxmlformats.org/officeDocument/2006/relationships" r:id="Re575add7c0ff416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130000114440918" hidden="0" customWidth="1"/>
    <x:col min="2" max="2" width="18.75" hidden="0" customWidth="1"/>
    <x:col min="3" max="3" width="36.25" hidden="0" customWidth="1"/>
    <x:col min="4" max="4" width="8.130000114440918" hidden="0" customWidth="1"/>
    <x:col min="5" max="5" width="20" hidden="0" customWidth="1"/>
    <x:col min="6" max="6" width="41.880001068115234" hidden="0" customWidth="1"/>
    <x:col min="7" max="7" width="47.5" hidden="0" customWidth="1"/>
    <x:col min="8" max="8" width="55" hidden="0" customWidth="1"/>
  </x:cols>
  <x:sheetData>
    <x:row r="1" ht="25.5" customHeight="1">
      <x:c r="A1" s="6" t="str">
        <x:v>先行验证清单</x:v>
      </x:c>
      <x:c r="B1" s="7"/>
      <x:c r="C1" s="7"/>
      <x:c r="D1" s="7"/>
      <x:c r="E1" s="7"/>
      <x:c r="F1" s="7"/>
      <x:c r="G1" s="7"/>
      <x:c r="H1" s="7"/>
    </x:row>
    <x:row r="2" ht="18" customHeight="1">
      <x:c r="A2" s="9" t="str">
        <x:v>先验证真实显示、表冠、振动、电源和结构，再冻结主板。</x:v>
      </x:c>
      <x:c r="B2" s="10"/>
      <x:c r="C2" s="10"/>
      <x:c r="D2" s="10"/>
      <x:c r="E2" s="10"/>
      <x:c r="F2" s="10"/>
      <x:c r="G2" s="10"/>
      <x:c r="H2" s="10"/>
    </x:row>
    <x:row r="3" ht="18" customHeight="1">
      <x:c r="A3" s="9" t="str">
        <x:v>研发物料不与单机 BOM 相加；目前没有下单或联系供应商。</x:v>
      </x:c>
      <x:c r="B3" s="10"/>
      <x:c r="C3" s="10"/>
      <x:c r="D3" s="10"/>
      <x:c r="E3" s="10"/>
      <x:c r="F3" s="10"/>
      <x:c r="G3" s="10"/>
      <x:c r="H3" s="10"/>
    </x:row>
    <x:row r="4" ht="7.5" customHeight="1">
      <x:c r="A4" s="3"/>
      <x:c r="B4" s="3"/>
      <x:c r="C4" s="3"/>
      <x:c r="D4" s="3"/>
      <x:c r="E4" s="3"/>
      <x:c r="F4" s="3"/>
      <x:c r="G4" s="3"/>
      <x:c r="H4" s="3"/>
    </x:row>
    <x:row r="5" ht="30" customHeight="1">
      <x:c r="A5" s="14" t="str">
        <x:v>编号</x:v>
      </x:c>
      <x:c r="B5" s="15" t="str">
        <x:v>用途</x:v>
      </x:c>
      <x:c r="C5" s="15" t="str">
        <x:v>型号 / 项目</x:v>
      </x:c>
      <x:c r="D5" s="15" t="str">
        <x:v>数量</x:v>
      </x:c>
      <x:c r="E5" s="15" t="str">
        <x:v>安排</x:v>
      </x:c>
      <x:c r="F5" s="15" t="str">
        <x:v>选择理由</x:v>
      </x:c>
      <x:c r="G5" s="15" t="str">
        <x:v>核对事项</x:v>
      </x:c>
      <x:c r="H5" s="16" t="str">
        <x:v>来源</x:v>
      </x:c>
    </x:row>
    <x:row r="6" ht="69" customHeight="1">
      <x:c r="A6" s="17" t="str">
        <x:v>P01</x:v>
      </x:c>
      <x:c r="B6" s="17" t="str">
        <x:v>UI 性能验证</x:v>
      </x:c>
      <x:c r="C6" s="17" t="str">
        <x:v>SF32LB52-DevKit-LCD N16R8 配套屏套装</x:v>
      </x:c>
      <x:c r="D6" s="20" t="n">
        <x:v>1</x:v>
      </x:c>
      <x:c r="E6" s="17" t="str">
        <x:v>先验证</x:v>
      </x:c>
      <x:c r="F6" s="17" t="str">
        <x:v>官方 BSP 支持对应显示组合，建立渲染、传输和触摸性能基线。</x:v>
      </x:c>
      <x:c r="G6" s="17" t="str">
        <x:v>开发板只有 8 MB PSRAM，目标主板为 16 MB；记录缓存差别，开发板耗电不能直接当作整机耗电。</x:v>
      </x:c>
      <x:c r="H6" s="17" t="str">
        <x:v>https://docs.sifli.com/projects/sdk/latest/sf32lb52x/supported_boards/boards/sf32lb52-lcd_n16r8/doc/index.html</x:v>
      </x:c>
    </x:row>
    <x:row r="7" ht="69" customHeight="1">
      <x:c r="A7" s="3" t="str">
        <x:v>P02</x:v>
      </x:c>
      <x:c r="B7" s="3" t="str">
        <x:v>装机屏样品</x:v>
      </x:c>
      <x:c r="C7" s="3" t="str">
        <x:v>ZC-A1D85W-010 总成 + 正式图纸</x:v>
      </x:c>
      <x:c r="D7" s="21" t="n">
        <x:v>1</x:v>
      </x:c>
      <x:c r="E7" s="3" t="str">
        <x:v>核对套装后购样</x:v>
      </x:c>
      <x:c r="F7" s="3" t="str">
        <x:v>拿到盖板、FPC、连接器、电源和驱动资料，作为壳体设计输入。</x:v>
      </x:c>
      <x:c r="G7" s="3" t="str">
        <x:v>P01 已含同版本总成则不重复买；不把开发转接板尺寸当作屏总成尺寸。</x:v>
      </x:c>
      <x:c r="H7" s="3" t="str">
        <x:v>https://wiki.sifli.com/en/board/sf32lb52x/SF-DevKit-LCM-Adapter.html</x:v>
      </x:c>
    </x:row>
    <x:row r="8" ht="69" customHeight="1">
      <x:c r="A8" s="17" t="str">
        <x:v>P03</x:v>
      </x:c>
      <x:c r="B8" s="17" t="str">
        <x:v>表冠验证</x:v>
      </x:c>
      <x:c r="C8" s="17" t="str">
        <x:v>TMAG5273 评估小板 + 轴机构与磁铁</x:v>
      </x:c>
      <x:c r="D8" s="20" t="n">
        <x:v>1</x:v>
      </x:c>
      <x:c r="E8" s="17" t="str">
        <x:v>与 UI 并行</x:v>
      </x:c>
      <x:c r="F8" s="17" t="str">
        <x:v>用真实输入调滚动速度、方向、按压及休眠唤醒。</x:v>
      </x:c>
      <x:c r="G8" s="17" t="str">
        <x:v>这一项是一套研发工装；磁铁尺寸和间距需要机械容差试验，不能直接视为成品表冠。</x:v>
      </x:c>
      <x:c r="H8" s="17" t="str">
        <x:v>https://www.ti.com/lit/ds/symlink/tmag5273.pdf</x:v>
      </x:c>
    </x:row>
    <x:row r="9" ht="69" customHeight="1">
      <x:c r="A9" s="3" t="str">
        <x:v>P04</x:v>
      </x:c>
      <x:c r="B9" s="3" t="str">
        <x:v>触感验证</x:v>
      </x:c>
      <x:c r="C9" s="3" t="str">
        <x:v>DRV2605L 评估板 + C10-100</x:v>
      </x:c>
      <x:c r="D9" s="21" t="n">
        <x:v>1</x:v>
      </x:c>
      <x:c r="E9" s="3" t="str">
        <x:v>与表冠一起验证</x:v>
      </x:c>
      <x:c r="F9" s="3" t="str">
        <x:v>测点击、刻度、通知和制动。</x:v>
      </x:c>
      <x:c r="G9" s="3" t="str">
        <x:v>按马达规格限幅，在接近实际整机质量和固定方式的样件上测试。</x:v>
      </x:c>
      <x:c r="H9" s="3" t="str">
        <x:v>https://www.precisionmicrodrives.com/datasheets/C10-100%20-%20datasheet-006.pdf</x:v>
      </x:c>
    </x:row>
    <x:row r="10" ht="69" customHeight="1">
      <x:c r="A10" s="17" t="str">
        <x:v>P05</x:v>
      </x:c>
      <x:c r="B10" s="17" t="str">
        <x:v>电源验证</x:v>
      </x:c>
      <x:c r="C10" s="17" t="str">
        <x:v>300 mAh 保护电池包 + 充电 / 稳压测试板</x:v>
      </x:c>
      <x:c r="D10" s="20" t="n">
        <x:v>1</x:v>
      </x:c>
      <x:c r="E10" s="17" t="str">
        <x:v>电池规格确认后</x:v>
      </x:c>
      <x:c r="F10" s="17" t="str">
        <x:v>测白屏、无线收发、振动同时工作的峰值与充电温升。</x:v>
      </x:c>
      <x:c r="G10" s="17" t="str">
        <x:v>匹配 NTC 和充电参数，以电池侧电流积分评估亮屏、关屏与通知等模式。</x:v>
      </x:c>
      <x:c r="H10" s="17" t="str">
        <x:v>https://www.ti.com/product/BQ25180</x:v>
      </x:c>
    </x:row>
    <x:row r="11" ht="69" customHeight="1">
      <x:c r="A11" s="3" t="str">
        <x:v>P06</x:v>
      </x:c>
      <x:c r="B11" s="3" t="str">
        <x:v>结构试装</x:v>
      </x:c>
      <x:c r="C11" s="3" t="str">
        <x:v>打印壳、支架、表冠轴套与 PCB 厚度模型</x:v>
      </x:c>
      <x:c r="D11" s="21" t="n">
        <x:v>1</x:v>
      </x:c>
      <x:c r="E11" s="3" t="str">
        <x:v>图纸和样品齐后</x:v>
      </x:c>
      <x:c r="F11" s="3" t="str">
        <x:v>验证屏、电池包、FPC、LRA、按钮与连接器的装配关系。</x:v>
      </x:c>
      <x:c r="G11" s="3" t="str">
        <x:v>先做 1:1 干涉检查和实装，再冻结外壳；尚未开模或采购定制玻璃。</x:v>
      </x:c>
      <x:c r="H11" s="3" t="str">
        <x:v>工程建议</x:v>
      </x:c>
    </x:row>
    <x:row r="12" ht="69" customHeight="1">
      <x:c r="A12" s="17" t="str">
        <x:v>P07</x:v>
      </x:c>
      <x:c r="B12" s="17" t="str">
        <x:v>自研 PCBA</x:v>
      </x:c>
      <x:c r="C12" s="17" t="str">
        <x:v>B01–B30 适用项；SF58 + MIPI 为升级分支</x:v>
      </x:c>
      <x:c r="D12" s="20"/>
      <x:c r="E12" s="17" t="str">
        <x:v>验证后投板</x:v>
      </x:c>
      <x:c r="F12" s="17" t="str">
        <x:v>界面帧时间、表冠、触感和结构通过后，展开原理图与逐位号 BOM。</x:v>
      </x:c>
      <x:c r="G12" s="17" t="str">
        <x:v>若复杂动画不达标，先升级显示链路再投板。4–6 层、0.8 mm 仍为初步 PCB 参数。</x:v>
      </x:c>
      <x:c r="H12" s="17" t="str">
        <x:v>https://www.sifli.com/en/sf32lb58x</x:v>
      </x:c>
    </x:row>
  </x:sheetData>
  <x:pageMargins left="0.7" right="0.7" top="0.75" bottom="0.75" header="0.3" footer="0.3"/>
  <x:tableParts count="1">
    <x:tablePart xmlns:r="http://schemas.openxmlformats.org/officeDocument/2006/relationships" r:id="Rc5c6225b56a1401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.5" hidden="0" customWidth="1"/>
    <x:col min="2" max="2" width="17.5" hidden="0" customWidth="1"/>
    <x:col min="3" max="3" width="12.5" hidden="0" customWidth="1"/>
    <x:col min="4" max="4" width="86.25" hidden="0" customWidth="1"/>
  </x:cols>
  <x:sheetData>
    <x:row r="1" ht="25.5" customHeight="1">
      <x:c r="A1" s="6" t="str">
        <x:v>图形与电源资源预算</x:v>
      </x:c>
      <x:c r="B1" s="7"/>
      <x:c r="C1" s="7"/>
      <x:c r="D1" s="7"/>
    </x:row>
    <x:row r="2" ht="18" customHeight="1">
      <x:c r="A2" s="9" t="str">
        <x:v>黄色为设计输入或待测数据，蓝灰色为公式结果；不是实测性能。</x:v>
      </x:c>
      <x:c r="B2" s="10"/>
      <x:c r="C2" s="10"/>
      <x:c r="D2" s="10"/>
    </x:row>
    <x:row r="3" ht="18" customHeight="1">
      <x:c r="A3" s="9" t="str">
        <x:v>QSPI 50 MHz 为官方驱动默认值，效率 70% 为计算假设；帧率还受绘制、同步和面板限制。</x:v>
      </x:c>
      <x:c r="B3" s="10"/>
      <x:c r="C3" s="10"/>
      <x:c r="D3" s="10"/>
    </x:row>
    <x:row r="4" ht="7.5" customHeight="1">
      <x:c r="A4" s="3"/>
      <x:c r="B4" s="3"/>
      <x:c r="C4" s="3"/>
      <x:c r="D4" s="3"/>
    </x:row>
    <x:row r="5" ht="30" customHeight="1">
      <x:c r="A5" s="14" t="str">
        <x:v>参数 / 结果</x:v>
      </x:c>
      <x:c r="B5" s="15" t="str">
        <x:v>值</x:v>
      </x:c>
      <x:c r="C5" s="15" t="str">
        <x:v>单位</x:v>
      </x:c>
      <x:c r="D5" s="16" t="str">
        <x:v>说明</x:v>
      </x:c>
    </x:row>
    <x:row r="6" ht="36.75" customHeight="1">
      <x:c r="A6" s="17" t="str">
        <x:v>显示宽度</x:v>
      </x:c>
      <x:c r="B6" s="40" t="n">
        <x:v>390</x:v>
      </x:c>
      <x:c r="C6" s="17" t="str">
        <x:v>px</x:v>
      </x:c>
      <x:c r="D6" s="17" t="str">
        <x:v>B13 候选屏的已知像素宽度。</x:v>
      </x:c>
    </x:row>
    <x:row r="7" ht="36.75" customHeight="1">
      <x:c r="A7" s="3" t="str">
        <x:v>显示高度</x:v>
      </x:c>
      <x:c r="B7" s="40" t="n">
        <x:v>450</x:v>
      </x:c>
      <x:c r="C7" s="3" t="str">
        <x:v>px</x:v>
      </x:c>
      <x:c r="D7" s="3" t="str">
        <x:v>B13 候选屏的已知像素高度。</x:v>
      </x:c>
    </x:row>
    <x:row r="8" ht="36.75" customHeight="1">
      <x:c r="A8" s="17" t="str">
        <x:v>每像素字节数</x:v>
      </x:c>
      <x:c r="B8" s="40" t="n">
        <x:v>2</x:v>
      </x:c>
      <x:c r="C8" s="17" t="str">
        <x:v>B/px</x:v>
      </x:c>
      <x:c r="D8" s="17" t="str">
        <x:v>示例 RGB565；ARGB8888 使用 4。</x:v>
      </x:c>
    </x:row>
    <x:row r="9" ht="36.75" customHeight="1">
      <x:c r="A9" s="3" t="str">
        <x:v>帧缓冲数量</x:v>
      </x:c>
      <x:c r="B9" s="40" t="n">
        <x:v>2</x:v>
      </x:c>
      <x:c r="C9" s="3" t="str">
        <x:v>个</x:v>
      </x:c>
      <x:c r="D9" s="3" t="str">
        <x:v>用于双缓冲容量预算，具体渲染模式由驱动决定。</x:v>
      </x:c>
    </x:row>
    <x:row r="10" ht="36.75" customHeight="1">
      <x:c r="A10" s="17" t="str">
        <x:v>目标刷新率</x:v>
      </x:c>
      <x:c r="B10" s="40" t="n">
        <x:v>60</x:v>
      </x:c>
      <x:c r="C10" s="17" t="str">
        <x:v>fps</x:v>
      </x:c>
      <x:c r="D10" s="17" t="str">
        <x:v>设计目标，尚未在实物验证。</x:v>
      </x:c>
    </x:row>
    <x:row r="11" ht="36.75" customHeight="1">
      <x:c r="A11" s="3" t="str">
        <x:v>显示总线时钟</x:v>
      </x:c>
      <x:c r="B11" s="40" t="n">
        <x:v>50</x:v>
      </x:c>
      <x:c r="C11" s="3" t="str">
        <x:v>MHz</x:v>
      </x:c>
      <x:c r="D11" s="3" t="str">
        <x:v>官方 co5300.c 默认 50 MHz，并注明 RGB565 限制。需锁定 SDK 与面板版本后核对。</x:v>
      </x:c>
    </x:row>
    <x:row r="12" ht="36.75" customHeight="1">
      <x:c r="A12" s="17" t="str">
        <x:v>每拍数据位数</x:v>
      </x:c>
      <x:c r="B12" s="40" t="n">
        <x:v>4</x:v>
      </x:c>
      <x:c r="C12" s="17" t="str">
        <x:v>bit/clock</x:v>
      </x:c>
      <x:c r="D12" s="17" t="str">
        <x:v>四数据线、单沿 QSPI，未假定 DDR 或超频。</x:v>
      </x:c>
    </x:row>
    <x:row r="13" ht="36.75" customHeight="1">
      <x:c r="A13" s="3" t="str">
        <x:v>总线有效利用系数</x:v>
      </x:c>
      <x:c r="B13" s="38" t="n">
        <x:v>0.7</x:v>
      </x:c>
      <x:c r="C13" s="3" t="str">
        <x:v>比例</x:v>
      </x:c>
      <x:c r="D13" s="3" t="str">
        <x:v>工程计算假设，包含命令与传输间隙；不是实测值。</x:v>
      </x:c>
    </x:row>
    <x:row r="14" ht="36.75" customHeight="1">
      <x:c r="A14" s="17" t="str">
        <x:v>单帧数据量</x:v>
      </x:c>
      <x:c r="B14" s="41" t="n">
        <x:f>B6*B7*B8</x:f>
        <x:v>351000</x:v>
      </x:c>
      <x:c r="C14" s="17" t="str">
        <x:v>B</x:v>
      </x:c>
      <x:c r="D14" s="17" t="str">
        <x:v>宽 × 高 × 每像素字节数。</x:v>
      </x:c>
    </x:row>
    <x:row r="15" ht="36.75" customHeight="1">
      <x:c r="A15" s="3" t="str">
        <x:v>帧缓冲总容量</x:v>
      </x:c>
      <x:c r="B15" s="37" t="n">
        <x:f>B14*B9/1024</x:f>
        <x:v>685.546875</x:v>
      </x:c>
      <x:c r="C15" s="3" t="str">
        <x:v>KiB</x:v>
      </x:c>
      <x:c r="D15" s="3" t="str">
        <x:v>1 KiB = 1024 B。</x:v>
      </x:c>
    </x:row>
    <x:row r="16" ht="36.75" customHeight="1">
      <x:c r="A16" s="17" t="str">
        <x:v>全屏刷新的数据量</x:v>
      </x:c>
      <x:c r="B16" s="37" t="n">
        <x:f>B14*B10/1000000</x:f>
        <x:v>21.06</x:v>
      </x:c>
      <x:c r="C16" s="17" t="str">
        <x:v>MB/s</x:v>
      </x:c>
      <x:c r="D16" s="17" t="str">
        <x:v>十进制 MB/s；不包含额外渲染读写。</x:v>
      </x:c>
    </x:row>
    <x:row r="17" ht="36.75" customHeight="1">
      <x:c r="A17" s="3" t="str">
        <x:v>总线理论吞吐</x:v>
      </x:c>
      <x:c r="B17" s="37" t="n">
        <x:f>B11*B12/8</x:f>
        <x:v>25</x:v>
      </x:c>
      <x:c r="C17" s="3" t="str">
        <x:v>MB/s</x:v>
      </x:c>
      <x:c r="D17" s="3" t="str">
        <x:v>时钟 × 数据线位数 / 8。</x:v>
      </x:c>
    </x:row>
    <x:row r="18" ht="36.75" customHeight="1">
      <x:c r="A18" s="17" t="str">
        <x:v>估算有效吞吐</x:v>
      </x:c>
      <x:c r="B18" s="37" t="n">
        <x:f>B17*B13</x:f>
        <x:v>17.5</x:v>
      </x:c>
      <x:c r="C18" s="17" t="str">
        <x:v>MB/s</x:v>
      </x:c>
      <x:c r="D18" s="17" t="str">
        <x:v>只用于前期预算，不能据此保证 60 fps。</x:v>
      </x:c>
    </x:row>
    <x:row r="19" ht="36.75" customHeight="1">
      <x:c r="A19" s="3" t="str">
        <x:v>刷新占估算吞吐</x:v>
      </x:c>
      <x:c r="B19" s="39" t="n">
        <x:f>IF(B18&gt;0,B16/B18,"")</x:f>
        <x:v>1.2034285714285713</x:v>
      </x:c>
      <x:c r="C19" s="3" t="str">
        <x:v>比例</x:v>
      </x:c>
      <x:c r="D19" s="3" t="str">
        <x:v>超过 100% 表示按当前效率假设不能达到全屏目标帧率；真实效率与渲染仍需实测。</x:v>
      </x:c>
    </x:row>
    <x:row r="20" ht="36.75" customHeight="1">
      <x:c r="A20" s="17" t="str">
        <x:v>单帧时间预算</x:v>
      </x:c>
      <x:c r="B20" s="37" t="n">
        <x:f>IF(B10&gt;0,1000/B10,"")</x:f>
        <x:v>16.666666666666668</x:v>
      </x:c>
      <x:c r="C20" s="17" t="str">
        <x:v>ms</x:v>
      </x:c>
      <x:c r="D20" s="17" t="str">
        <x:v>1 秒 / 目标帧率。</x:v>
      </x:c>
    </x:row>
    <x:row r="21" ht="36.75" customHeight="1">
      <x:c r="A21" s="3" t="str">
        <x:v>实际触摸采样率</x:v>
      </x:c>
      <x:c r="B21" s="40"/>
      <x:c r="C21" s="3" t="str">
        <x:v>Hz</x:v>
      </x:c>
      <x:c r="D21" s="3" t="str">
        <x:v>待实测；不能用渲染帧率代替触摸输入速率。</x:v>
      </x:c>
    </x:row>
    <x:row r="22" ht="36.75" customHeight="1">
      <x:c r="A22" s="17" t="str">
        <x:v>实测触摸到显示延迟</x:v>
      </x:c>
      <x:c r="B22" s="36"/>
      <x:c r="C22" s="17" t="str">
        <x:v>ms</x:v>
      </x:c>
      <x:c r="D22" s="17" t="str">
        <x:v>用同步触发或高速视频评估典型与 P95；初始交互目标 P95 ≤80 ms，尚未验证。</x:v>
      </x:c>
    </x:row>
    <x:row r="23" ht="36.75" customHeight="1">
      <x:c r="A23" s="3" t="str">
        <x:v>设计用 PSRAM</x:v>
      </x:c>
      <x:c r="B23" s="40" t="n">
        <x:v>16</x:v>
      </x:c>
      <x:c r="C23" s="3" t="str">
        <x:v>MiB</x:v>
      </x:c>
      <x:c r="D23" s="3" t="str">
        <x:v>B01 合封容量。P01 为 8 MB，试验时需改成 8 并相应缩减下方缓存预算。</x:v>
      </x:c>
    </x:row>
    <x:row r="24" ht="36.75" customHeight="1">
      <x:c r="A24" s="17" t="str">
        <x:v>双缓冲占用</x:v>
      </x:c>
      <x:c r="B24" s="37" t="n">
        <x:f>B15/1024</x:f>
        <x:v>0.6694793701171875</x:v>
      </x:c>
      <x:c r="C24" s="17" t="str">
        <x:v>MiB</x:v>
      </x:c>
      <x:c r="D24" s="17" t="str">
        <x:v>由本页帧缓冲公式计算。</x:v>
      </x:c>
    </x:row>
    <x:row r="25" ht="36.75" customHeight="1">
      <x:c r="A25" s="3" t="str">
        <x:v>图像资源缓存预算</x:v>
      </x:c>
      <x:c r="B25" s="36" t="n">
        <x:v>4</x:v>
      </x:c>
      <x:c r="C25" s="3" t="str">
        <x:v>MiB</x:v>
      </x:c>
      <x:c r="D25" s="3" t="str">
        <x:v>工程初始预算，可调整。</x:v>
      </x:c>
    </x:row>
    <x:row r="26" ht="36.75" customHeight="1">
      <x:c r="A26" s="17" t="str">
        <x:v>字体缓存预算</x:v>
      </x:c>
      <x:c r="B26" s="36" t="n">
        <x:v>1</x:v>
      </x:c>
      <x:c r="C26" s="17" t="str">
        <x:v>MiB</x:v>
      </x:c>
      <x:c r="D26" s="17" t="str">
        <x:v>工程初始预算，可调整。</x:v>
      </x:c>
    </x:row>
    <x:row r="27" ht="36.75" customHeight="1">
      <x:c r="A27" s="3" t="str">
        <x:v>临时合成 / 解码预算</x:v>
      </x:c>
      <x:c r="B27" s="36" t="n">
        <x:v>2</x:v>
      </x:c>
      <x:c r="C27" s="3" t="str">
        <x:v>MiB</x:v>
      </x:c>
      <x:c r="D27" s="3" t="str">
        <x:v>工程初始预算，可调整。</x:v>
      </x:c>
    </x:row>
    <x:row r="28" ht="36.75" customHeight="1">
      <x:c r="A28" s="17" t="str">
        <x:v>其他 PSRAM 预算</x:v>
      </x:c>
      <x:c r="B28" s="36" t="n">
        <x:v>1</x:v>
      </x:c>
      <x:c r="C28" s="17" t="str">
        <x:v>MiB</x:v>
      </x:c>
      <x:c r="D28" s="17" t="str">
        <x:v>不代表所有 DMA 或任务栈都可放在 PSRAM。</x:v>
      </x:c>
    </x:row>
    <x:row r="29" ht="36.75" customHeight="1">
      <x:c r="A29" s="3" t="str">
        <x:v>已分配 PSRAM 预算</x:v>
      </x:c>
      <x:c r="B29" s="37" t="n">
        <x:f>SUM(B24:B28)</x:f>
        <x:v>8.669479370117188</x:v>
      </x:c>
      <x:c r="C29" s="3" t="str">
        <x:v>MiB</x:v>
      </x:c>
      <x:c r="D29" s="3" t="str">
        <x:v>各项预算合计。</x:v>
      </x:c>
    </x:row>
    <x:row r="30" ht="36.75" customHeight="1">
      <x:c r="A30" s="17" t="str">
        <x:v>PSRAM 剩余预算</x:v>
      </x:c>
      <x:c r="B30" s="37" t="n">
        <x:f>B23-B29</x:f>
        <x:v>7.3305206298828125</x:v>
      </x:c>
      <x:c r="C30" s="17" t="str">
        <x:v>MiB</x:v>
      </x:c>
      <x:c r="D30" s="17" t="str">
        <x:v>不足时应调整图形资源或架构。</x:v>
      </x:c>
    </x:row>
    <x:row r="31" ht="36.75" customHeight="1">
      <x:c r="A31" s="3" t="str">
        <x:v>PSRAM 剩余比例</x:v>
      </x:c>
      <x:c r="B31" s="39" t="n">
        <x:f>IF(B23&gt;0,B30/B23,"")</x:f>
        <x:v>0.4581575393676758</x:v>
      </x:c>
      <x:c r="C31" s="3" t="str">
        <x:v>比例</x:v>
      </x:c>
      <x:c r="D31" s="3" t="str">
        <x:v>预留余量供缓存峰值和后续功能。</x:v>
      </x:c>
    </x:row>
    <x:row r="32" ht="36.75" customHeight="1">
      <x:c r="A32" s="17" t="str">
        <x:v>片内 SRAM</x:v>
      </x:c>
      <x:c r="B32" s="42" t="n">
        <x:v>576</x:v>
      </x:c>
      <x:c r="C32" s="17" t="str">
        <x:v>KiB</x:v>
      </x:c>
      <x:c r="D32" s="17" t="str">
        <x:v>芯片资料值；RTOS、协议栈、DMA 与双核分配须看 BSP 链接布局。</x:v>
      </x:c>
    </x:row>
    <x:row r="33" ht="36.75" customHeight="1">
      <x:c r="A33" s="3" t="str">
        <x:v>设计电池容量</x:v>
      </x:c>
      <x:c r="B33" s="40" t="n">
        <x:v>300</x:v>
      </x:c>
      <x:c r="C33" s="3" t="str">
        <x:v>mAh</x:v>
      </x:c>
      <x:c r="D33" s="3" t="str">
        <x:v>按 B16 候选电芯容量预算，成品电池包规格仍待确认。</x:v>
      </x:c>
    </x:row>
    <x:row r="34" ht="36.75" customHeight="1">
      <x:c r="A34" s="17" t="str">
        <x:v>电池可用容量系数</x:v>
      </x:c>
      <x:c r="B34" s="38" t="n">
        <x:v>0.8</x:v>
      </x:c>
      <x:c r="C34" s="17" t="str">
        <x:v>比例</x:v>
      </x:c>
      <x:c r="D34" s="17" t="str">
        <x:v>工程估算；受温度、老化与关机阈值影响。</x:v>
      </x:c>
    </x:row>
    <x:row r="35" ht="36.75" customHeight="1">
      <x:c r="A35" s="3" t="str">
        <x:v>目标运行时间</x:v>
      </x:c>
      <x:c r="B35" s="36" t="n">
        <x:v>24</x:v>
      </x:c>
      <x:c r="C35" s="3" t="str">
        <x:v>h</x:v>
      </x:c>
      <x:c r="D35" s="3" t="str">
        <x:v>用于倒推平均电流上限。</x:v>
      </x:c>
    </x:row>
    <x:row r="36" ht="36.75" customHeight="1">
      <x:c r="A36" s="17" t="str">
        <x:v>电池侧平均电流上限</x:v>
      </x:c>
      <x:c r="B36" s="37" t="n">
        <x:f>IF(B35&gt;0,B33*B34/B35,"")</x:f>
        <x:v>10</x:v>
      </x:c>
      <x:c r="C36" s="17" t="str">
        <x:v>mA</x:v>
      </x:c>
      <x:c r="D36" s="17" t="str">
        <x:v>要求在电池侧测量，以纳入各电源转换损耗。</x:v>
      </x:c>
    </x:row>
    <x:row r="37" ht="36.75" customHeight="1">
      <x:c r="A37" s="3" t="str">
        <x:v>实测电池侧平均电流</x:v>
      </x:c>
      <x:c r="B37" s="36"/>
      <x:c r="C37" s="3" t="str">
        <x:v>mA</x:v>
      </x:c>
      <x:c r="D37" s="3" t="str">
        <x:v>留空直到完成指定亮屏、蓝牙与振动占空比测试。</x:v>
      </x:c>
    </x:row>
    <x:row r="38" ht="36.75" customHeight="1">
      <x:c r="A38" s="17" t="str">
        <x:v>按实测电流估算续航</x:v>
      </x:c>
      <x:c r="B38" s="37" t="str">
        <x:f>IF(ISNUMBER(B37),IF(B37&gt;0,B33*B34/B37,""),"")</x:f>
      </x:c>
      <x:c r="C38" s="17" t="str">
        <x:v>h</x:v>
      </x:c>
      <x:c r="D38" s="17" t="str">
        <x:v>估算值，仍需完整放电验证。</x:v>
      </x:c>
    </x:row>
    <x:row r="40">
      <x:c r="A40" s="43" t="str">
        <x:v>软件与测试依据</x:v>
      </x:c>
    </x:row>
    <x:row r="41" ht="48" customHeight="1">
      <x:c r="A41" s="3" t="str">
        <x:v>LVGL 缓冲模式</x:v>
      </x:c>
      <x:c r="B41" s="3"/>
      <x:c r="C41" s="3"/>
      <x:c r="D41" s="3" t="str">
        <x:v>https://lvgl.io/docs/open/9.0/porting/display.html</x:v>
      </x:c>
    </x:row>
    <x:row r="42" ht="48" customHeight="1">
      <x:c r="A42" s="3" t="str">
        <x:v>SiFli 电路和时钟</x:v>
      </x:c>
      <x:c r="B42" s="3"/>
      <x:c r="C42" s="3"/>
      <x:c r="D42" s="3" t="str">
        <x:v>https://wiki.sifli.com/hardware/SF32LB52B-E-G-J-HW-Application.html</x:v>
      </x:c>
    </x:row>
    <x:row r="43" ht="48" customHeight="1">
      <x:c r="A43" s="3" t="str">
        <x:v>单机软件架构</x:v>
      </x:c>
      <x:c r="B43" s="3"/>
      <x:c r="C43" s="3"/>
      <x:c r="D43" s="3" t="str">
        <x:v>SiFli SDK 对应 BSP + RTOS + LVGL。界面线程不阻塞采样；表冠 / 触摸事件排队处理，短中断，保留看门狗与恢复下载。</x:v>
      </x:c>
    </x:row>
    <x:row r="44" ht="48" customHeight="1">
      <x:c r="A44" s="3" t="str">
        <x:v>实机验证项目</x:v>
      </x:c>
      <x:c r="B44" s="3"/>
      <x:c r="C44" s="3"/>
      <x:c r="D44" s="3" t="str">
        <x:v>测全屏滑动、图标缩放、卡片转场的帧时间；同时测 BLE 重连、任务栈余量、关屏电流、充电温升及完整外壳下的射频表现。</x:v>
      </x:c>
    </x:row>
    <x:row r="46" ht="46.5" customHeight="1">
      <x:c r="A46" s="3" t="str">
        <x:v>所需最低有效利用率</x:v>
      </x:c>
      <x:c r="B46" s="48" t="n">
        <x:f>IF(B17&gt;0,B16/B17,"")</x:f>
        <x:v>0.8423999999999999</x:v>
      </x:c>
      <x:c r="C46" s="3" t="str">
        <x:v>比例</x:v>
      </x:c>
      <x:c r="D46" s="3" t="str">
        <x:v>全屏目标数据量 / 理论带宽。还需绘制与 DMA 并发，不能只满足算术门槛。</x:v>
      </x:c>
    </x:row>
    <x:row r="47" ht="46.5" customHeight="1">
      <x:c r="A47" s="3" t="str">
        <x:v>按假设效率的传输上限</x:v>
      </x:c>
      <x:c r="B47" s="37" t="n">
        <x:f>IF(B14&gt;0,B18*1000000/B14,"")</x:f>
        <x:v>49.857549857549856</x:v>
      </x:c>
      <x:c r="C47" s="3" t="str">
        <x:v>fps</x:v>
      </x:c>
      <x:c r="D47" s="3" t="str">
        <x:v>仅为传输上限，实际还受面板扫描、渲染和同步限制。</x:v>
      </x:c>
    </x:row>
    <x:row r="48" ht="46.5" customHeight="1">
      <x:c r="A48" s="3" t="str">
        <x:v>官方显示驱动</x:v>
      </x:c>
      <x:c r="B48" s="3"/>
      <x:c r="C48" s="3"/>
      <x:c r="D48" s="3" t="str">
        <x:v>https://github.com/OpenSiFli/SiFli-SDK/blob/main/customer/peripherals/display/co5300/co5300.c</x:v>
      </x:c>
    </x:row>
    <x:row r="49" ht="46.5" customHeight="1">
      <x:c r="A49" s="3" t="str">
        <x:v>屏幕总成资料</x:v>
      </x:c>
      <x:c r="B49" s="3"/>
      <x:c r="C49" s="3"/>
      <x:c r="D49" s="3" t="str">
        <x:v>https://wiki.sifli.com/en/board/sf32lb52x/SF-DevKit-LCM-Adapter.html</x:v>
      </x:c>
    </x:row>
  </x:sheetData>
  <x:pageMargins left="0.7" right="0.7" top="0.75" bottom="0.75" header="0.3" footer="0.3"/>
  <x:tableParts count="1">
    <x:tablePart xmlns:r="http://schemas.openxmlformats.org/officeDocument/2006/relationships" r:id="R7c4f757c919048e8"/>
  </x:tableParts>
</x:worksheet>
</file>