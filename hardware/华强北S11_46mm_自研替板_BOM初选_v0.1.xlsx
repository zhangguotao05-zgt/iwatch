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80c108d104c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初选" sheetId="1" r:id="R8368431797434ee2"/>
    <x:sheet xmlns:r="http://schemas.openxmlformats.org/officeDocument/2006/relationships" name="原件复用" sheetId="2" r:id="R53cda17bc53e4d3b"/>
    <x:sheet xmlns:r="http://schemas.openxmlformats.org/officeDocument/2006/relationships" name="先行验证" sheetId="3" r:id="R2ca79ee0a5b54b56"/>
    <x:sheet xmlns:r="http://schemas.openxmlformats.org/officeDocument/2006/relationships" name="资源预算" sheetId="4" r:id="R74faae19fc2d43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&quot;¥&quot;#,##0.00"/>
    <x:numFmt numFmtId="202" formatCode="0.00"/>
    <x:numFmt numFmtId="203" formatCode="0.0%"/>
    <x:numFmt numFmtId="204" formatCode="#,##0"/>
  </x:numFmts>
  <x:fonts count="8">
    <x:font>
      <x:sz val="11"/>
      <x:name val="Carlito"/>
    </x:font>
    <x:font>
      <x:sz val="11"/>
      <x:color rgb="FF18202B"/>
      <x:name val="Arial"/>
    </x:font>
    <x:font>
      <x:b/>
      <x:sz val="17"/>
      <x:color rgb="FF18202B"/>
      <x:name val="Arial"/>
    </x:font>
    <x:font>
      <x:sz val="11"/>
      <x:color rgb="FF606B78"/>
      <x:name val="Arial"/>
    </x:font>
    <x:font>
      <x:b/>
      <x:sz val="11"/>
      <x:color rgb="FFFFFFFF"/>
      <x:name val="Arial"/>
    </x:font>
    <x:font>
      <x:sz val="10"/>
      <x:color rgb="FF355F81"/>
      <x:name val="Arial"/>
    </x:font>
    <x:font>
      <x:b/>
      <x:sz val="11"/>
      <x:color rgb="FF18202B"/>
      <x:name val="Arial"/>
    </x:font>
    <x:font>
      <x:b/>
      <x:sz val="1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63445"/>
      </x:patternFill>
    </x:fill>
    <x:fill>
      <x:patternFill patternType="solid">
        <x:fgColor rgb="FFF4F6F8"/>
      </x:patternFill>
    </x:fill>
    <x:fill>
      <x:patternFill patternType="solid">
        <x:fgColor rgb="FFFFF2CC"/>
      </x:patternFill>
    </x:fill>
    <x:fill>
      <x:patternFill patternType="solid">
        <x:fgColor rgb="FFEDF3F8"/>
      </x:patternFill>
    </x:fill>
  </x:fills>
  <x:borders count="5">
    <x:border/>
    <x:border>
      <x:bottom style="thin">
        <x:color rgb="FFCED5D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2" fillId="0" borderId="1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horizontal="center"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202" fontId="1" fillId="3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4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vertical="top" wrapText="1"/>
    </x:xf>
    <x:xf numFmtId="203" fontId="1" fillId="4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vertical="top" wrapText="1"/>
    </x:xf>
    <x:xf numFmtId="204" fontId="1" fillId="4" borderId="0" xfId="0" applyNumberFormat="1" applyFont="1" applyFill="1" applyBorder="1" applyAlignment="1">
      <x:alignment vertical="top" wrapText="1"/>
    </x:xf>
    <x:xf numFmtId="204" fontId="1" fillId="5" borderId="0" xfId="0" applyNumberFormat="1" applyFont="1" applyFill="1" applyBorder="1" applyAlignment="1">
      <x:alignment vertical="top" wrapText="1"/>
    </x:xf>
    <x:xf numFmtId="204" fontId="1" fillId="3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6af92c71a4299" /><Relationship Type="http://schemas.openxmlformats.org/officeDocument/2006/relationships/theme" Target="/xl/theme/theme1.xml" Id="R586a7e141db14186" /><Relationship Type="http://schemas.openxmlformats.org/officeDocument/2006/relationships/sharedStrings" Target="/xl/sharedStrings.xml" Id="R51ac5a8ad6fa454a" /><Relationship Type="http://schemas.openxmlformats.org/officeDocument/2006/relationships/worksheet" Target="/xl/worksheets/sheet1.xml" Id="R8368431797434ee2" /><Relationship Type="http://schemas.openxmlformats.org/officeDocument/2006/relationships/worksheet" Target="/xl/worksheets/sheet2.xml" Id="R53cda17bc53e4d3b" /><Relationship Type="http://schemas.openxmlformats.org/officeDocument/2006/relationships/worksheet" Target="/xl/worksheets/sheet3.xml" Id="R2ca79ee0a5b54b56" /><Relationship Type="http://schemas.openxmlformats.org/officeDocument/2006/relationships/worksheet" Target="/xl/worksheets/sheet4.xml" Id="R74faae19fc2d4324" /></Relationships>
</file>

<file path=xl/tables/table1.xml><?xml version="1.0" encoding="utf-8"?>
<x:table xmlns:x="http://schemas.openxmlformats.org/spreadsheetml/2006/main" id="1" name="WatchBOM" displayName="WatchBOM" ref="A5:L35" headerRowCount="1" totalsRowCount="0" totalsRowShown="0">
  <x:autoFilter ref="A5:L35"/>
  <x:tableColumns count="12">
    <x:tableColumn id="1" name="编号"/>
    <x:tableColumn id="2" name="模块"/>
    <x:tableColumn id="3" name="候选型号 / 规格"/>
    <x:tableColumn id="4" name="单机用量"/>
    <x:tableColumn id="5" name="接口 / 电源"/>
    <x:tableColumn id="6" name="封装 / 外形"/>
    <x:tableColumn id="7" name="用途与选型依据"/>
    <x:tableColumn id="8" name="采用前必须确认"/>
    <x:tableColumn id="9" name="采购安排"/>
    <x:tableColumn id="10" name="含税单价&#10;元"/>
    <x:tableColumn id="11" name="小计&#10;元"/>
    <x:tableColumn id="12" name="官方来源 / 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usePlan" displayName="ReusePlan" ref="A5:E19" headerRowCount="1" totalsRowCount="0" totalsRowShown="0">
  <x:autoFilter ref="A5:E19"/>
  <x:tableColumns count="5">
    <x:tableColumn id="1" name="项目"/>
    <x:tableColumn id="2" name="建议"/>
    <x:tableColumn id="3" name="需要核对的实物信息"/>
    <x:tableColumn id="4" name="对方案的影响"/>
    <x:tableColumn id="5" name="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totypeList" displayName="PrototypeList" ref="A5:H12" headerRowCount="1" totalsRowCount="0" totalsRowShown="0">
  <x:autoFilter ref="A5:H12"/>
  <x:tableColumns count="8">
    <x:tableColumn id="1" name="编号"/>
    <x:tableColumn id="2" name="用途"/>
    <x:tableColumn id="3" name="型号 / 项目"/>
    <x:tableColumn id="4" name="数量"/>
    <x:tableColumn id="5" name="安排"/>
    <x:tableColumn id="6" name="选择理由"/>
    <x:tableColumn id="7" name="核对事项"/>
    <x:tableColumn id="8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ourceBudget" displayName="ResourceBudget" ref="A5:D38" headerRowCount="1" totalsRowCount="0" totalsRowShown="0">
  <x:autoFilter ref="A5:D38"/>
  <x:tableColumns count="4">
    <x:tableColumn id="1" name="参数 / 结果"/>
    <x:tableColumn id="2" name="值"/>
    <x:tableColumn id="3" name="单位"/>
    <x:tableColumn id="4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780a58b43b4a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caf68856774e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773a6bea02743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38e6ae81d054bb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.75" hidden="0" customWidth="1"/>
    <x:col min="2" max="2" width="15" hidden="0" customWidth="1"/>
    <x:col min="3" max="3" width="28.1299991607666" hidden="0" customWidth="1"/>
    <x:col min="4" max="4" width="10" hidden="0" customWidth="1"/>
    <x:col min="5" max="5" width="23.75" hidden="0" customWidth="1"/>
    <x:col min="6" max="6" width="24.3799991607666" hidden="0" customWidth="1"/>
    <x:col min="7" max="7" width="35" hidden="0" customWidth="1"/>
    <x:col min="8" max="8" width="41.25" hidden="0" customWidth="1"/>
    <x:col min="9" max="9" width="21.8799991607666" hidden="0" customWidth="1"/>
    <x:col min="10" max="10" width="13.130000114440918" hidden="0" customWidth="1"/>
    <x:col min="11" max="11" width="13.130000114440918" hidden="0" customWidth="1"/>
    <x:col min="12" max="12" width="55" hidden="0" customWidth="1"/>
  </x:cols>
  <x:sheetData>
    <x:row r="1" ht="25.5" customHeight="1">
      <x:c r="A1" s="6" t="str">
        <x:v>华强北 S11 46 mm 替板 BOM 初选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2" ht="18" customHeight="1">
      <x:c r="A2" s="9" t="str">
        <x:v>v0.1｜2026-09-11｜实物内部尚未核实；首版重点为界面、触摸、表冠、BLE、抬腕与振动。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 ht="18" customHeight="1">
      <x:c r="A3" s="9" t="str">
        <x:v>价格空白表示待询价；这是选型清单，尚未展开成可投产的逐位号 BOM。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4" ht="7.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0" customHeight="1">
      <x:c r="A5" s="14" t="str">
        <x:v>编号</x:v>
      </x:c>
      <x:c r="B5" s="15" t="str">
        <x:v>模块</x:v>
      </x:c>
      <x:c r="C5" s="15" t="str">
        <x:v>候选型号 / 规格</x:v>
      </x:c>
      <x:c r="D5" s="15" t="str">
        <x:v>单机用量</x:v>
      </x:c>
      <x:c r="E5" s="15" t="str">
        <x:v>接口 / 电源</x:v>
      </x:c>
      <x:c r="F5" s="15" t="str">
        <x:v>封装 / 外形</x:v>
      </x:c>
      <x:c r="G5" s="15" t="str">
        <x:v>用途与选型依据</x:v>
      </x:c>
      <x:c r="H5" s="15" t="str">
        <x:v>采用前必须确认</x:v>
      </x:c>
      <x:c r="I5" s="15" t="str">
        <x:v>采购安排</x:v>
      </x:c>
      <x:c r="J5" s="15" t="str">
        <x:v>含税单价
元</x:v>
      </x:c>
      <x:c r="K5" s="15" t="str">
        <x:v>小计
元</x:v>
      </x:c>
      <x:c r="L5" s="16" t="str">
        <x:v>官方来源 / 依据</x:v>
      </x:c>
    </x:row>
    <x:row r="6" ht="69" customHeight="1">
      <x:c r="A6" s="17" t="str">
        <x:v>B01</x:v>
      </x:c>
      <x:c r="B6" s="17" t="str">
        <x:v>主控 / PSRAM</x:v>
      </x:c>
      <x:c r="C6" s="17" t="str">
        <x:v>SF32LB52JUD6</x:v>
      </x:c>
      <x:c r="D6" s="20" t="n">
        <x:v>1</x:v>
      </x:c>
      <x:c r="E6" s="17" t="str">
        <x:v>3.3 V；LCD / I²C / SPI / BLE</x:v>
      </x:c>
      <x:c r="F6" s="17" t="str">
        <x:v>QFN68L；7 × 7 × 0.85 mm；0.35 mm 间距</x:v>
      </x:c>
      <x:c r="G6" s="17" t="str">
        <x:v>SiFli；240 MHz 应用核、2D/2.5D 图形加速，合封 16 MB PSRAM。固件建议采用 SiFli SDK + LVGL。</x:v>
      </x:c>
      <x:c r="H6" s="17" t="str">
        <x:v>先确认现有屏幕接口、分辨率、时序及 7 mm 芯片区域可放入；不直接支持所有屏。</x:v>
      </x:c>
      <x:c r="I6" s="17" t="str">
        <x:v>核对屏幕后再采购</x:v>
      </x:c>
      <x:c r="J6" s="24"/>
      <x:c r="K6" s="25" t="str">
        <x:f>IF(AND(ISNUMBER(D6),ISNUMBER(J6)),D6*J6,"")</x:f>
      </x:c>
      <x:c r="L6" s="26" t="str">
        <x:v>https://downloads.sifli.com/user%20manual/DS5202-SF32LB52X-%E8%8A%AF%E7%89%87%E6%8A%80%E6%9C%AF%E8%A7%84%E6%A0%BC%E4%B9%A6%20V0p2p5.pdf</x:v>
      </x:c>
    </x:row>
    <x:row r="7" ht="69" customHeight="1">
      <x:c r="A7" s="3" t="str">
        <x:v>B02</x:v>
      </x:c>
      <x:c r="B7" s="3" t="str">
        <x:v>程序 / 图形存储</x:v>
      </x:c>
      <x:c r="C7" s="3" t="str">
        <x:v>W25Q128JVPIQ</x:v>
      </x:c>
      <x:c r="D7" s="21" t="n">
        <x:v>1</x:v>
      </x:c>
      <x:c r="E7" s="3" t="str">
        <x:v>2.7–3.6 V；SPI / Dual / Quad</x:v>
      </x:c>
      <x:c r="F7" s="3" t="str">
        <x:v>WSON-8；6 × 5 mm</x:v>
      </x:c>
      <x:c r="G7" s="3" t="str">
        <x:v>Winbond；128 Mbit = 16 MB，用于程序、字体、图标与升级分区。</x:v>
      </x:c>
      <x:c r="H7" s="3" t="str">
        <x:v>核对 MPI 电平、启动方式、SDK Flash 支持及 6 × 5 mm 占位；若面积不足再选小封装等效料。</x:v>
      </x:c>
      <x:c r="I7" s="3" t="str">
        <x:v>主控与布局确定后采购</x:v>
      </x:c>
      <x:c r="J7" s="24"/>
      <x:c r="K7" s="25" t="str">
        <x:f>IF(AND(ISNUMBER(D7),ISNUMBER(J7)),D7*J7,"")</x:f>
      </x:c>
      <x:c r="L7" s="27" t="str">
        <x:v>https://www.winbond.com/export/sites/winbond/product-selection-guide/file/2025-Product-Selection-Guide-Winbond-Code-Storage-Flash-Memory.pdf</x:v>
      </x:c>
    </x:row>
    <x:row r="8" ht="69" customHeight="1">
      <x:c r="A8" s="17" t="str">
        <x:v>B03</x:v>
      </x:c>
      <x:c r="B8" s="17" t="str">
        <x:v>主晶体</x:v>
      </x:c>
      <x:c r="C8" s="17" t="str">
        <x:v>E1SB48E001G00E</x:v>
      </x:c>
      <x:c r="D8" s="20" t="n">
        <x:v>1</x:v>
      </x:c>
      <x:c r="E8" s="17" t="str">
        <x:v>48 MHz；CL 8.8 pF</x:v>
      </x:c>
      <x:c r="F8" s="17" t="str">
        <x:v>2016 公制；2.0 × 1.6 mm</x:v>
      </x:c>
      <x:c r="G8" s="17" t="str">
        <x:v>Hosonic；取自 SiFli 硬件指南推荐清单。</x:v>
      </x:c>
      <x:c r="H8" s="17" t="str">
        <x:v>负载电容及布局采用所选芯片版本的推荐设计；具体尾码与供货核对。</x:v>
      </x:c>
      <x:c r="I8" s="17" t="str">
        <x:v>可随主控少量备料</x:v>
      </x:c>
      <x:c r="J8" s="24"/>
      <x:c r="K8" s="25" t="str">
        <x:f>IF(AND(ISNUMBER(D8),ISNUMBER(J8)),D8*J8,"")</x:f>
      </x:c>
      <x:c r="L8" s="26" t="str">
        <x:v>https://wiki.sifli.com/hardware/SF32LB52B-E-G-J-HW-Application.html</x:v>
      </x:c>
    </x:row>
    <x:row r="9" ht="69" customHeight="1">
      <x:c r="A9" s="3" t="str">
        <x:v>B04</x:v>
      </x:c>
      <x:c r="B9" s="3" t="str">
        <x:v>RTC 晶体</x:v>
      </x:c>
      <x:c r="C9" s="3" t="str">
        <x:v>ETST00327000LE</x:v>
      </x:c>
      <x:c r="D9" s="21" t="n">
        <x:v>1</x:v>
      </x:c>
      <x:c r="E9" s="3" t="str">
        <x:v>32.768 kHz；CL 7 pF</x:v>
      </x:c>
      <x:c r="F9" s="3" t="str">
        <x:v>3215 公制；3.2 × 1.5 mm</x:v>
      </x:c>
      <x:c r="G9" s="3" t="str">
        <x:v>Hosonic；低速计时与休眠时钟候选，来自 SiFli 推荐清单。</x:v>
      </x:c>
      <x:c r="H9" s="3" t="str">
        <x:v>核对高度、ESR、负载与实际板上校准；缺料时按原规格替代。</x:v>
      </x:c>
      <x:c r="I9" s="3" t="str">
        <x:v>可随主控少量备料</x:v>
      </x:c>
      <x:c r="J9" s="24"/>
      <x:c r="K9" s="25" t="str">
        <x:f>IF(AND(ISNUMBER(D9),ISNUMBER(J9)),D9*J9,"")</x:f>
      </x:c>
      <x:c r="L9" s="27" t="str">
        <x:v>https://wiki.sifli.com/hardware/SF32LB52B-E-G-J-HW-Application.html</x:v>
      </x:c>
    </x:row>
    <x:row r="10" ht="69" customHeight="1">
      <x:c r="A10" s="17" t="str">
        <x:v>B05</x:v>
      </x:c>
      <x:c r="B10" s="17" t="str">
        <x:v>充电 / Power Path</x:v>
      </x:c>
      <x:c r="C10" s="17" t="str">
        <x:v>BQ25180YBGR</x:v>
      </x:c>
      <x:c r="D10" s="20" t="n">
        <x:v>1</x:v>
      </x:c>
      <x:c r="E10" s="17" t="str">
        <x:v>1 节锂电；I²C；首轮使用受控 5 V 输入</x:v>
      </x:c>
      <x:c r="F10" s="17" t="str">
        <x:v>DSBGA-8；1.783 × 0.983 mm</x:v>
      </x:c>
      <x:c r="G10" s="17" t="str">
        <x:v>TI；充电终止电压可配置，带电源路径、温度管理和关机模式。</x:v>
      </x:c>
      <x:c r="H10" s="17" t="str">
        <x:v>必须匹配实物电池终止电压、充电电流、NTC 与保护板；不得按芯片 1 A 上限直接给小电池充电。</x:v>
      </x:c>
      <x:c r="I10" s="17" t="str">
        <x:v>电池参数确定后采购</x:v>
      </x:c>
      <x:c r="J10" s="24"/>
      <x:c r="K10" s="25" t="str">
        <x:f>IF(AND(ISNUMBER(D10),ISNUMBER(J10)),D10*J10,"")</x:f>
      </x:c>
      <x:c r="L10" s="26" t="str">
        <x:v>https://www.ti.com/product/BQ25180</x:v>
      </x:c>
    </x:row>
    <x:row r="11" ht="69" customHeight="1">
      <x:c r="A11" s="3" t="str">
        <x:v>B06</x:v>
      </x:c>
      <x:c r="B11" s="3" t="str">
        <x:v>主 3.3 V 电源</x:v>
      </x:c>
      <x:c r="C11" s="3" t="str">
        <x:v>TPS63031DSKR</x:v>
      </x:c>
      <x:c r="D11" s="21" t="n">
        <x:v>1</x:v>
      </x:c>
      <x:c r="E11" s="3" t="str">
        <x:v>输入 1.8–5.5 V；固定输出 3.3 V</x:v>
      </x:c>
      <x:c r="F11" s="3" t="str">
        <x:v>WSON-10；DSK 封装图为准</x:v>
      </x:c>
      <x:c r="G11" s="3" t="str">
        <x:v>TI；升降压，用于 B05 SYS 到主控和 3.3 V 外设供电。</x:v>
      </x:c>
      <x:c r="H11" s="3" t="str">
        <x:v>按最低电池电压下的实际负载选电感和电容；1 A 是开关电流等级，不是保证的输出电流。</x:v>
      </x:c>
      <x:c r="I11" s="3" t="str">
        <x:v>电源预算确定后采购</x:v>
      </x:c>
      <x:c r="J11" s="24"/>
      <x:c r="K11" s="25" t="str">
        <x:f>IF(AND(ISNUMBER(D11),ISNUMBER(J11)),D11*J11,"")</x:f>
      </x:c>
      <x:c r="L11" s="27" t="str">
        <x:v>https://www.ti.com/product/TPS63031/part-details/TPS63031DSKR</x:v>
      </x:c>
    </x:row>
    <x:row r="12" ht="69" customHeight="1">
      <x:c r="A12" s="17" t="str">
        <x:v>B07</x:v>
      </x:c>
      <x:c r="B12" s="17" t="str">
        <x:v>可选 1.8 V 电源</x:v>
      </x:c>
      <x:c r="C12" s="17" t="str">
        <x:v>TPS62840DLCR</x:v>
      </x:c>
      <x:c r="D12" s="20"/>
      <x:c r="E12" s="17" t="str">
        <x:v>降压；拟输出 1.8 V</x:v>
      </x:c>
      <x:c r="F12" s="17" t="str">
        <x:v>VSON-HR-8；1.5 × 2.0 mm</x:v>
      </x:c>
      <x:c r="G12" s="17" t="str">
        <x:v>TI；仅在实物屏幕 / 触摸需要独立 1.8 V 电源时装配。</x:v>
      </x:c>
      <x:c r="H12" s="17" t="str">
        <x:v>先核对器件电压域；评估主控已有电源输出是否满足负载，避免重复增加电源。</x:v>
      </x:c>
      <x:c r="I12" s="17" t="str">
        <x:v>选配，暂不采购</x:v>
      </x:c>
      <x:c r="J12" s="24"/>
      <x:c r="K12" s="25" t="str">
        <x:f>IF(AND(ISNUMBER(D12),ISNUMBER(J12)),D12*J12,"")</x:f>
      </x:c>
      <x:c r="L12" s="26" t="str">
        <x:v>https://www.ti.com/product/TPS62840/part-details/TPS62840DLCR</x:v>
      </x:c>
    </x:row>
    <x:row r="13" ht="69" customHeight="1">
      <x:c r="A13" s="3" t="str">
        <x:v>B08</x:v>
      </x:c>
      <x:c r="B13" s="3" t="str">
        <x:v>抬腕 / 运动检测</x:v>
      </x:c>
      <x:c r="C13" s="3" t="str">
        <x:v>LIS2DW12TR</x:v>
      </x:c>
      <x:c r="D13" s="21" t="n">
        <x:v>1</x:v>
      </x:c>
      <x:c r="E13" s="3" t="str">
        <x:v>I²C 或 SPI；建议接 INT 唤醒</x:v>
      </x:c>
      <x:c r="F13" s="3" t="str">
        <x:v>LGA-12；2.0 × 2.0 × 0.7 mm</x:v>
      </x:c>
      <x:c r="G13" s="3" t="str">
        <x:v>ST；低功耗三轴加速度计，支持抬腕检测、运动唤醒和计步算法输入。</x:v>
      </x:c>
      <x:c r="H13" s="3" t="str">
        <x:v>固定器件坐标方向、确认 I²C 地址和中断脚；抬腕和计步仍需软件算法调试。</x:v>
      </x:c>
      <x:c r="I13" s="3" t="str">
        <x:v>可先买评估模块验证</x:v>
      </x:c>
      <x:c r="J13" s="24"/>
      <x:c r="K13" s="25" t="str">
        <x:f>IF(AND(ISNUMBER(D13),ISNUMBER(J13)),D13*J13,"")</x:f>
      </x:c>
      <x:c r="L13" s="27" t="str">
        <x:v>https://www.st.com/resource/en/datasheet/lis2dw12.pdf</x:v>
      </x:c>
    </x:row>
    <x:row r="14" ht="69" customHeight="1">
      <x:c r="A14" s="17" t="str">
        <x:v>B09</x:v>
      </x:c>
      <x:c r="B14" s="17" t="str">
        <x:v>振动驱动</x:v>
      </x:c>
      <x:c r="C14" s="17" t="str">
        <x:v>DRV2605LYZFR</x:v>
      </x:c>
      <x:c r="D14" s="20" t="n">
        <x:v>1</x:v>
      </x:c>
      <x:c r="E14" s="17" t="str">
        <x:v>2–5.2 V；I²C；LRA / ERM</x:v>
      </x:c>
      <x:c r="F14" s="17" t="str">
        <x:v>DSBGA-9；YZF 封装图为准</x:v>
      </x:c>
      <x:c r="G14" s="17" t="str">
        <x:v>TI；闭环振动驱动候选，支持启动和制动控制。</x:v>
      </x:c>
      <x:c r="H14" s="17" t="str">
        <x:v>先辨认现有马达类型、阻抗、额定电压和谐振参数；使用现有 ERM 时无法保证 LRA 式清脆触感。</x:v>
      </x:c>
      <x:c r="I14" s="17" t="str">
        <x:v>马达参数确定后采购</x:v>
      </x:c>
      <x:c r="J14" s="24"/>
      <x:c r="K14" s="25" t="str">
        <x:f>IF(AND(ISNUMBER(D14),ISNUMBER(J14)),D14*J14,"")</x:f>
      </x:c>
      <x:c r="L14" s="26" t="str">
        <x:v>https://www.ti.com/product/DRV2605L/part-details/DRV2605LYZFR</x:v>
      </x:c>
    </x:row>
    <x:row r="15" ht="69" customHeight="1">
      <x:c r="A15" s="3" t="str">
        <x:v>B10</x:v>
      </x:c>
      <x:c r="B15" s="3" t="str">
        <x:v>电量计</x:v>
      </x:c>
      <x:c r="C15" s="3" t="str">
        <x:v>MAX17055ETB+T</x:v>
      </x:c>
      <x:c r="D15" s="21"/>
      <x:c r="E15" s="3" t="str">
        <x:v>单节电池；I²C；配电流采样电阻</x:v>
      </x:c>
      <x:c r="F15" s="3" t="str">
        <x:v>TDFN；以 ETB 封装图为准</x:v>
      </x:c>
      <x:c r="G15" s="3" t="str">
        <x:v>ADI；首版可预留，后续改善电量百分比显示；不作为 UI 点亮的必要物料。</x:v>
      </x:c>
      <x:c r="H15" s="3" t="str">
        <x:v>需核对电池电压范围、容量、终止电流和模型参数；省略时仅做 ADC 电压估计。</x:v>
      </x:c>
      <x:c r="I15" s="3" t="str">
        <x:v>选配，暂不采购</x:v>
      </x:c>
      <x:c r="J15" s="24"/>
      <x:c r="K15" s="25" t="str">
        <x:f>IF(AND(ISNUMBER(D15),ISNUMBER(J15)),D15*J15,"")</x:f>
      </x:c>
      <x:c r="L15" s="27" t="str">
        <x:v>https://www.analog.com/en/products/max17055.html</x:v>
      </x:c>
    </x:row>
    <x:row r="16" ht="69" customHeight="1">
      <x:c r="A16" s="17" t="str">
        <x:v>B11</x:v>
      </x:c>
      <x:c r="B16" s="17" t="str">
        <x:v>电量计采样电阻</x:v>
      </x:c>
      <x:c r="C16" s="17" t="str">
        <x:v>10 mΩ；1%；额定功率按峰值电流确定</x:v>
      </x:c>
      <x:c r="D16" s="20"/>
      <x:c r="E16" s="17" t="str">
        <x:v>与 B10 配套；Kelvin 取样</x:v>
      </x:c>
      <x:c r="F16" s="17" t="str">
        <x:v>封装待电流 / 高度预算</x:v>
      </x:c>
      <x:c r="G16" s="17" t="str">
        <x:v>低阻采样电阻，仅装配 B10 时需要。</x:v>
      </x:c>
      <x:c r="H16" s="17" t="str">
        <x:v>阻值与量程按 MAX17055 配置匹配；考虑走线电阻和充放电峰值。</x:v>
      </x:c>
      <x:c r="I16" s="17" t="str">
        <x:v>随电量计定型</x:v>
      </x:c>
      <x:c r="J16" s="24"/>
      <x:c r="K16" s="25" t="str">
        <x:f>IF(AND(ISNUMBER(D16),ISNUMBER(J16)),D16*J16,"")</x:f>
      </x:c>
      <x:c r="L16" s="26" t="str">
        <x:v>https://www.analog.com/en/products/max17055.html</x:v>
      </x:c>
    </x:row>
    <x:row r="17" ht="69" customHeight="1">
      <x:c r="A17" s="3" t="str">
        <x:v>B12</x:v>
      </x:c>
      <x:c r="B17" s="3" t="str">
        <x:v>接口 ESD</x:v>
      </x:c>
      <x:c r="C17" s="3" t="str">
        <x:v>TPD4E05U06DQAR</x:v>
      </x:c>
      <x:c r="D17" s="21"/>
      <x:c r="E17" s="3" t="str">
        <x:v>4 通道；低电容保护</x:v>
      </x:c>
      <x:c r="F17" s="3" t="str">
        <x:v>USON-10；DQA 封装图为准</x:v>
      </x:c>
      <x:c r="G17" s="3" t="str">
        <x:v>TI；用于选定的外露信号接口，最终颗数按信号数量确定。</x:v>
      </x:c>
      <x:c r="H17" s="3" t="str">
        <x:v>核对工作电压、钳位与被保护 IC 耐压；不将信号 ESD 管当成电池过压保护。</x:v>
      </x:c>
      <x:c r="I17" s="3" t="str">
        <x:v>接口数量确定后采购</x:v>
      </x:c>
      <x:c r="J17" s="24"/>
      <x:c r="K17" s="25" t="str">
        <x:f>IF(AND(ISNUMBER(D17),ISNUMBER(J17)),D17*J17,"")</x:f>
      </x:c>
      <x:c r="L17" s="27" t="str">
        <x:v>https://www.ti.com/product/TPD4E05U06/part-details/TPD4E05U06DQAR</x:v>
      </x:c>
    </x:row>
    <x:row r="18" ht="69" customHeight="1">
      <x:c r="A18" s="17" t="str">
        <x:v>B13</x:v>
      </x:c>
      <x:c r="B18" s="17" t="str">
        <x:v>屏幕与触摸总成</x:v>
      </x:c>
      <x:c r="C18" s="17" t="str">
        <x:v>优先复用现有整套总成</x:v>
      </x:c>
      <x:c r="D18" s="20" t="n">
        <x:v>1</x:v>
      </x:c>
      <x:c r="E18" s="17" t="str">
        <x:v>显示总线、触摸总线及电源均待识别</x:v>
      </x:c>
      <x:c r="F18" s="17" t="str">
        <x:v>保留当前安装边框和排线位置</x:v>
      </x:c>
      <x:c r="G18" s="17" t="str">
        <x:v>先保留现有屏幕、盖板和触摸的装配关系，以减少结构修改。</x:v>
      </x:c>
      <x:c r="H18" s="17" t="str">
        <x:v>必须拿到驱动 IC、实际分辨率、FPC 定义、电压和初始化序列；不能由“S11 46 mm”推断。</x:v>
      </x:c>
      <x:c r="I18" s="17" t="str">
        <x:v>优先复用，暂不买新屏</x:v>
      </x:c>
      <x:c r="J18" s="24"/>
      <x:c r="K18" s="25" t="str">
        <x:f>IF(AND(ISNUMBER(D18),ISNUMBER(J18)),D18*J18,"")</x:f>
      </x:c>
      <x:c r="L18" s="26"/>
    </x:row>
    <x:row r="19" ht="69" customHeight="1">
      <x:c r="A19" s="3" t="str">
        <x:v>B14</x:v>
      </x:c>
      <x:c r="B19" s="3" t="str">
        <x:v>屏幕电源 / 背光</x:v>
      </x:c>
      <x:c r="C19" s="3" t="str">
        <x:v>由 B13 确认后选型</x:v>
      </x:c>
      <x:c r="D19" s="21"/>
      <x:c r="E19" s="3" t="str">
        <x:v>OLED 偏压或 TFT 背光方案待定</x:v>
      </x:c>
      <x:c r="F19" s="3" t="str">
        <x:v>待屏幕需求与布局</x:v>
      </x:c>
      <x:c r="G19" s="3" t="str">
        <x:v>依据现有屏幕实际类型选择供电；不预设它是 AMOLED 或原装 Apple 屏。</x:v>
      </x:c>
      <x:c r="H19" s="3" t="str">
        <x:v>区分总成内已有电源与原主板上的电源；补齐上电时序、复位及调光要求。</x:v>
      </x:c>
      <x:c r="I19" s="3" t="str">
        <x:v>识别屏幕后定型</x:v>
      </x:c>
      <x:c r="J19" s="24"/>
      <x:c r="K19" s="25" t="str">
        <x:f>IF(AND(ISNUMBER(D19),ISNUMBER(J19)),D19*J19,"")</x:f>
      </x:c>
      <x:c r="L19" s="27"/>
    </x:row>
    <x:row r="20" ht="69" customHeight="1">
      <x:c r="A20" s="17" t="str">
        <x:v>B15</x:v>
      </x:c>
      <x:c r="B20" s="17" t="str">
        <x:v>触摸电平适配</x:v>
      </x:c>
      <x:c r="C20" s="17" t="str">
        <x:v>仅必要时增加电平转换</x:v>
      </x:c>
      <x:c r="D20" s="20"/>
      <x:c r="E20" s="17" t="str">
        <x:v>可能是 I²C + INT + RESET，待实测</x:v>
      </x:c>
      <x:c r="F20" s="17" t="str">
        <x:v>按接口电平和空间选择</x:v>
      </x:c>
      <x:c r="G20" s="17" t="str">
        <x:v>优先直接使用总成内触摸控制器，避免另做触摸板。</x:v>
      </x:c>
      <x:c r="H20" s="17" t="str">
        <x:v>核对逻辑电压、上拉电源及断电反灌；不能向未知接口直接施加 3.3 V。</x:v>
      </x:c>
      <x:c r="I20" s="17" t="str">
        <x:v>识别接口后定型</x:v>
      </x:c>
      <x:c r="J20" s="24"/>
      <x:c r="K20" s="25" t="str">
        <x:f>IF(AND(ISNUMBER(D20),ISNUMBER(J20)),D20*J20,"")</x:f>
      </x:c>
      <x:c r="L20" s="26"/>
    </x:row>
    <x:row r="21" ht="69" customHeight="1">
      <x:c r="A21" s="3" t="str">
        <x:v>B16</x:v>
      </x:c>
      <x:c r="B21" s="3" t="str">
        <x:v>电池</x:v>
      </x:c>
      <x:c r="C21" s="3" t="str">
        <x:v>优先复用现有带保护电池</x:v>
      </x:c>
      <x:c r="D21" s="21" t="n">
        <x:v>1</x:v>
      </x:c>
      <x:c r="E21" s="3" t="str">
        <x:v>额定容量、标称电压和终止电压待核实</x:v>
      </x:c>
      <x:c r="F21" s="3" t="str">
        <x:v>尺寸、厚度和插头按实物</x:v>
      </x:c>
      <x:c r="G21" s="3" t="str">
        <x:v>保留既有电池仓及安装位置；电池健康状态合格后使用。</x:v>
      </x:c>
      <x:c r="H21" s="3" t="str">
        <x:v>记录标签与引线定义，核查保护电路及 NTC；不根据商品名推断容量和充电电压。</x:v>
      </x:c>
      <x:c r="I21" s="3" t="str">
        <x:v>参数 / 状态合格后复用</x:v>
      </x:c>
      <x:c r="J21" s="24"/>
      <x:c r="K21" s="25" t="str">
        <x:f>IF(AND(ISNUMBER(D21),ISNUMBER(J21)),D21*J21,"")</x:f>
      </x:c>
      <x:c r="L21" s="27"/>
    </x:row>
    <x:row r="22" ht="69" customHeight="1">
      <x:c r="A22" s="17" t="str">
        <x:v>B17</x:v>
      </x:c>
      <x:c r="B22" s="17" t="str">
        <x:v>电池温度检测</x:v>
      </x:c>
      <x:c r="C22" s="17" t="str">
        <x:v>匹配现有 NTC 或新增贴近电池的 NTC</x:v>
      </x:c>
      <x:c r="D22" s="20"/>
      <x:c r="E22" s="17" t="str">
        <x:v>与 B05 TS 网络匹配</x:v>
      </x:c>
      <x:c r="F22" s="17" t="str">
        <x:v>阻值 / B 值 / 封装待核实</x:v>
      </x:c>
      <x:c r="G22" s="17" t="str">
        <x:v>为充电温度检测提供实物温度反馈。</x:v>
      </x:c>
      <x:c r="H22" s="17" t="str">
        <x:v>已有温度线优先核对复用；新增 NTC 需匹配 BQ25180 设置与充电电路参考设计。</x:v>
      </x:c>
      <x:c r="I22" s="17" t="str">
        <x:v>随电池和充电设计定型</x:v>
      </x:c>
      <x:c r="J22" s="24"/>
      <x:c r="K22" s="25" t="str">
        <x:f>IF(AND(ISNUMBER(D22),ISNUMBER(J22)),D22*J22,"")</x:f>
      </x:c>
      <x:c r="L22" s="26" t="str">
        <x:v>https://www.ti.com/product/BQ25180</x:v>
      </x:c>
    </x:row>
    <x:row r="23" ht="69" customHeight="1">
      <x:c r="A23" s="3" t="str">
        <x:v>B18</x:v>
      </x:c>
      <x:c r="B23" s="3" t="str">
        <x:v>表冠与侧键</x:v>
      </x:c>
      <x:c r="C23" s="3" t="str">
        <x:v>优先复用机构及可独立复用的电气件</x:v>
      </x:c>
      <x:c r="D23" s="21" t="n">
        <x:v>1</x:v>
      </x:c>
      <x:c r="E23" s="3" t="str">
        <x:v>旋转传感器 / 按键接口待识别</x:v>
      </x:c>
      <x:c r="F23" s="3" t="str">
        <x:v>轴心、按压行程、固定位置按实物</x:v>
      </x:c>
      <x:c r="G23" s="3" t="str">
        <x:v>机械表冠和侧键位置固定，主板应适配它们的位置。</x:v>
      </x:c>
      <x:c r="H23" s="3" t="str">
        <x:v>若编码器焊在旧主板，需转接或同尺寸替代；不能假定一定输出 A/B 两相。</x:v>
      </x:c>
      <x:c r="I23" s="3" t="str">
        <x:v>拆机确认后复用 / 替代</x:v>
      </x:c>
      <x:c r="J23" s="24"/>
      <x:c r="K23" s="25" t="str">
        <x:f>IF(AND(ISNUMBER(D23),ISNUMBER(J23)),D23*J23,"")</x:f>
      </x:c>
      <x:c r="L23" s="27"/>
    </x:row>
    <x:row r="24" ht="69" customHeight="1">
      <x:c r="A24" s="17" t="str">
        <x:v>B19</x:v>
      </x:c>
      <x:c r="B24" s="17" t="str">
        <x:v>振动器</x:v>
      </x:c>
      <x:c r="C24" s="17" t="str">
        <x:v>优先复用现有马达</x:v>
      </x:c>
      <x:c r="D24" s="20" t="n">
        <x:v>1</x:v>
      </x:c>
      <x:c r="E24" s="17" t="str">
        <x:v>ERM / LRA 待识别</x:v>
      </x:c>
      <x:c r="F24" s="17" t="str">
        <x:v>保留现有固定槽及接触方式</x:v>
      </x:c>
      <x:c r="G24" s="17" t="str">
        <x:v>先保留可装入现有马达仓的器件，配 B09 调试。</x:v>
      </x:c>
      <x:c r="H24" s="17" t="str">
        <x:v>若仅有 ERM，接受首版触感限制；需要换 LRA 时重新核对空间和固定刚度。</x:v>
      </x:c>
      <x:c r="I24" s="17" t="str">
        <x:v>测量后决定复用</x:v>
      </x:c>
      <x:c r="J24" s="24"/>
      <x:c r="K24" s="25" t="str">
        <x:f>IF(AND(ISNUMBER(D24),ISNUMBER(J24)),D24*J24,"")</x:f>
      </x:c>
      <x:c r="L24" s="26" t="str">
        <x:v>https://www.ti.com/product/DRV2605L/part-details/DRV2605LYZFR</x:v>
      </x:c>
    </x:row>
    <x:row r="25" ht="69" customHeight="1">
      <x:c r="A25" s="3" t="str">
        <x:v>B20</x:v>
      </x:c>
      <x:c r="B25" s="3" t="str">
        <x:v>充电接入组件</x:v>
      </x:c>
      <x:c r="C25" s="3" t="str">
        <x:v>优先复用现有触点或独立接收组件</x:v>
      </x:c>
      <x:c r="D25" s="21" t="n">
        <x:v>1</x:v>
      </x:c>
      <x:c r="E25" s="3" t="str">
        <x:v>输入方式与输出电压待测</x:v>
      </x:c>
      <x:c r="F25" s="3" t="str">
        <x:v>保持现有底盖和充电位置</x:v>
      </x:c>
      <x:c r="G25" s="3" t="str">
        <x:v>先辨认磁吸触点还是无线接收。台架阶段可从外部受控 5 V 给 B05 供电。</x:v>
      </x:c>
      <x:c r="H25" s="3" t="str">
        <x:v>若无线接收控制在旧主板内，只保留线圈不能完成充电；需另选完整接收电路。</x:v>
      </x:c>
      <x:c r="I25" s="3" t="str">
        <x:v>确认独立供电能力后复用</x:v>
      </x:c>
      <x:c r="J25" s="24"/>
      <x:c r="K25" s="25" t="str">
        <x:f>IF(AND(ISNUMBER(D25),ISNUMBER(J25)),D25*J25,"")</x:f>
      </x:c>
      <x:c r="L25" s="27"/>
    </x:row>
    <x:row r="26" ht="69" customHeight="1">
      <x:c r="A26" s="17" t="str">
        <x:v>B21</x:v>
      </x:c>
      <x:c r="B26" s="17" t="str">
        <x:v>BLE 天线</x:v>
      </x:c>
      <x:c r="C26" s="17" t="str">
        <x:v>现有可分离天线或新 FPC 天线</x:v>
      </x:c>
      <x:c r="D26" s="20" t="n">
        <x:v>1</x:v>
      </x:c>
      <x:c r="E26" s="17" t="str">
        <x:v>2.4 GHz；匹配网络待实测</x:v>
      </x:c>
      <x:c r="F26" s="17" t="str">
        <x:v>与外壳金属和电池共同评估</x:v>
      </x:c>
      <x:c r="G26" s="17" t="str">
        <x:v>在保留整机空间的前提下匹配射频通路。</x:v>
      </x:c>
      <x:c r="H26" s="17" t="str">
        <x:v>旧 PCB 天线会随旧主板一起移除；完整封壳后重新测匹配和实际连接距离。</x:v>
      </x:c>
      <x:c r="I26" s="17" t="str">
        <x:v>拆机 / 射频布局后定型</x:v>
      </x:c>
      <x:c r="J26" s="24"/>
      <x:c r="K26" s="25" t="str">
        <x:f>IF(AND(ISNUMBER(D26),ISNUMBER(J26)),D26*J26,"")</x:f>
      </x:c>
      <x:c r="L26" s="26" t="str">
        <x:v>https://wiki.sifli.com/hardware/SF32LB52B-E-G-J-HW-Application.html</x:v>
      </x:c>
    </x:row>
    <x:row r="27" ht="69" customHeight="1">
      <x:c r="A27" s="3" t="str">
        <x:v>B22</x:v>
      </x:c>
      <x:c r="B27" s="3" t="str">
        <x:v>显示 / 按键连接器</x:v>
      </x:c>
      <x:c r="C27" s="3" t="str">
        <x:v>与实物排线匹配的连接器</x:v>
      </x:c>
      <x:c r="D27" s="21"/>
      <x:c r="E27" s="3" t="str">
        <x:v>针数、间距、触点朝向待测</x:v>
      </x:c>
      <x:c r="F27" s="3" t="str">
        <x:v>高度、锁扣与插入方向待测</x:v>
      </x:c>
      <x:c r="G27" s="3" t="str">
        <x:v>保留原排线折弯和装配路径；能够减少外壳修改。</x:v>
      </x:c>
      <x:c r="H27" s="3" t="str">
        <x:v>不能按“常见 0.5 mm FPC 座”直接买；确认每个针脚后再绘制原理图符号。</x:v>
      </x:c>
      <x:c r="I27" s="3" t="str">
        <x:v>暂不采购</x:v>
      </x:c>
      <x:c r="J27" s="24"/>
      <x:c r="K27" s="25" t="str">
        <x:f>IF(AND(ISNUMBER(D27),ISNUMBER(J27)),D27*J27,"")</x:f>
      </x:c>
      <x:c r="L27" s="27"/>
    </x:row>
    <x:row r="28" ht="69" customHeight="1">
      <x:c r="A28" s="17" t="str">
        <x:v>B23</x:v>
      </x:c>
      <x:c r="B28" s="17" t="str">
        <x:v>转接 FPC / 小板</x:v>
      </x:c>
      <x:c r="C28" s="17" t="str">
        <x:v>按原排线位置定制</x:v>
      </x:c>
      <x:c r="D28" s="20"/>
      <x:c r="E28" s="17" t="str">
        <x:v>短距离信号与供电转接</x:v>
      </x:c>
      <x:c r="F28" s="17" t="str">
        <x:v>厚度 / 弯曲半径 / 局部高度待测</x:v>
      </x:c>
      <x:c r="G28" s="17" t="str">
        <x:v>用于旧器件位置与新主板布局不一致的地方。</x:v>
      </x:c>
      <x:c r="H28" s="17" t="str">
        <x:v>总线速度、电源压降、装配高度决定能否转接；不预先承诺只需一块平板。</x:v>
      </x:c>
      <x:c r="I28" s="17" t="str">
        <x:v>需要时打样</x:v>
      </x:c>
      <x:c r="J28" s="24"/>
      <x:c r="K28" s="25" t="str">
        <x:f>IF(AND(ISNUMBER(D28),ISNUMBER(J28)),D28*J28,"")</x:f>
      </x:c>
      <x:c r="L28" s="26"/>
    </x:row>
    <x:row r="29" ht="69" customHeight="1">
      <x:c r="A29" s="3" t="str">
        <x:v>B24</x:v>
      </x:c>
      <x:c r="B29" s="3" t="str">
        <x:v>主板 PCB</x:v>
      </x:c>
      <x:c r="C29" s="3" t="str">
        <x:v>按现有主板包络定制</x:v>
      </x:c>
      <x:c r="D29" s="21" t="n">
        <x:v>1</x:v>
      </x:c>
      <x:c r="E29" s="3" t="str">
        <x:v>层数由布线、阻抗和装配确定</x:v>
      </x:c>
      <x:c r="F29" s="3" t="str">
        <x:v>轮廓 / 板厚 / 禁布区均待实测</x:v>
      </x:c>
      <x:c r="G29" s="3" t="str">
        <x:v>先做 1:1 轮廓和厚度样件试装，再制作电路板。</x:v>
      </x:c>
      <x:c r="H29" s="3" t="str">
        <x:v>初步评估 4–6 层；这不是已定制板参数，不能默认采用通用 1.6 mm 厚度。</x:v>
      </x:c>
      <x:c r="I29" s="3" t="str">
        <x:v>试装通过后打样</x:v>
      </x:c>
      <x:c r="J29" s="24"/>
      <x:c r="K29" s="25" t="str">
        <x:f>IF(AND(ISNUMBER(D29),ISNUMBER(J29)),D29*J29,"")</x:f>
      </x:c>
      <x:c r="L29" s="27"/>
    </x:row>
    <x:row r="30" ht="69" customHeight="1">
      <x:c r="A30" s="17" t="str">
        <x:v>B25</x:v>
      </x:c>
      <x:c r="B30" s="17" t="str">
        <x:v>电源电感 / 功率电容</x:v>
      </x:c>
      <x:c r="C30" s="17" t="str">
        <x:v>跟随 B05 / B06 / B07 的参考电路</x:v>
      </x:c>
      <x:c r="D30" s="20"/>
      <x:c r="E30" s="17" t="str">
        <x:v>容量、感量、纹波和饱和电流待计算</x:v>
      </x:c>
      <x:c r="F30" s="17" t="str">
        <x:v>按高度预算选择</x:v>
      </x:c>
      <x:c r="G30" s="17" t="str">
        <x:v>覆盖电源环路和各电源输入 / 输出旁路。</x:v>
      </x:c>
      <x:c r="H30" s="17" t="str">
        <x:v>需按真实负载展开到独立位号、MPN 和数量；当前条目不是可投产的阻容清单。</x:v>
      </x:c>
      <x:c r="I30" s="17" t="str">
        <x:v>原理图完成后展开</x:v>
      </x:c>
      <x:c r="J30" s="24"/>
      <x:c r="K30" s="25" t="str">
        <x:f>IF(AND(ISNUMBER(D30),ISNUMBER(J30)),D30*J30,"")</x:f>
      </x:c>
      <x:c r="L30" s="26" t="str">
        <x:v>https://www.ti.com/product/TPS63031/part-details/TPS63031DSKR</x:v>
      </x:c>
    </x:row>
    <x:row r="31" ht="69" customHeight="1">
      <x:c r="A31" s="3" t="str">
        <x:v>B26</x:v>
      </x:c>
      <x:c r="B31" s="3" t="str">
        <x:v>去耦 / 上拉 / 串联电阻</x:v>
      </x:c>
      <x:c r="C31" s="3" t="str">
        <x:v>按 MCU / Flash / 接口参考设计展开</x:v>
      </x:c>
      <x:c r="D31" s="21"/>
      <x:c r="E31" s="3" t="str">
        <x:v>工作电压和总线速度决定数值</x:v>
      </x:c>
      <x:c r="F31" s="3" t="str">
        <x:v>优先可装配的小封装</x:v>
      </x:c>
      <x:c r="G31" s="3" t="str">
        <x:v>按各电源域和引脚要求放置；包含晶体预留电容位置。</x:v>
      </x:c>
      <x:c r="H31" s="3" t="str">
        <x:v>不要将一组“通用阻容包”视为最终 BOM；需核对启动脚、I²C 上拉及屏幕信号完整性。</x:v>
      </x:c>
      <x:c r="I31" s="3" t="str">
        <x:v>原理图完成后展开</x:v>
      </x:c>
      <x:c r="J31" s="24"/>
      <x:c r="K31" s="25" t="str">
        <x:f>IF(AND(ISNUMBER(D31),ISNUMBER(J31)),D31*J31,"")</x:f>
      </x:c>
      <x:c r="L31" s="27" t="str">
        <x:v>https://wiki.sifli.com/hardware/SF32LB52B-E-G-J-HW-Application.html</x:v>
      </x:c>
    </x:row>
    <x:row r="32" ht="69" customHeight="1">
      <x:c r="A32" s="17" t="str">
        <x:v>B27</x:v>
      </x:c>
      <x:c r="B32" s="17" t="str">
        <x:v>Flash / 屏幕电源开关</x:v>
      </x:c>
      <x:c r="C32" s="17" t="str">
        <x:v>按低功耗与启动要求预留</x:v>
      </x:c>
      <x:c r="D32" s="20"/>
      <x:c r="E32" s="17" t="str">
        <x:v>负载电流、漏电和使能电平待定</x:v>
      </x:c>
      <x:c r="F32" s="17" t="str">
        <x:v>按电源树和空间选择</x:v>
      </x:c>
      <x:c r="G32" s="17" t="str">
        <x:v>控制可关闭外设，降低关机漏电；避免外设反灌。</x:v>
      </x:c>
      <x:c r="H32" s="17" t="str">
        <x:v>Flash 断电控制需符合 SiFli Boot ROM 要求；料号和装配数量随电源树冻结。</x:v>
      </x:c>
      <x:c r="I32" s="17" t="str">
        <x:v>电源树完成后定型</x:v>
      </x:c>
      <x:c r="J32" s="24"/>
      <x:c r="K32" s="25" t="str">
        <x:f>IF(AND(ISNUMBER(D32),ISNUMBER(J32)),D32*J32,"")</x:f>
      </x:c>
      <x:c r="L32" s="26" t="str">
        <x:v>https://wiki.sifli.com/hardware/SF32LB52B-E-G-J-HW-Application.html</x:v>
      </x:c>
    </x:row>
    <x:row r="33" ht="69" customHeight="1">
      <x:c r="A33" s="3" t="str">
        <x:v>B28</x:v>
      </x:c>
      <x:c r="B33" s="3" t="str">
        <x:v>射频匹配无源器件</x:v>
      </x:c>
      <x:c r="C33" s="3" t="str">
        <x:v>按参考设计预留可调 π 网络</x:v>
      </x:c>
      <x:c r="D33" s="21"/>
      <x:c r="E33" s="3" t="str">
        <x:v>2.4 GHz；50 Ω 通路设计</x:v>
      </x:c>
      <x:c r="F33" s="3" t="str">
        <x:v>以射频参考布局为准</x:v>
      </x:c>
      <x:c r="G33" s="3" t="str">
        <x:v>匹配天线、馈线和外壳环境。</x:v>
      </x:c>
      <x:c r="H33" s="3" t="str">
        <x:v>元件值必须在完整外壳和电池状态下测定；不能由开发板元件值直接保证性能。</x:v>
      </x:c>
      <x:c r="I33" s="3" t="str">
        <x:v>射频验证后定值</x:v>
      </x:c>
      <x:c r="J33" s="24"/>
      <x:c r="K33" s="25" t="str">
        <x:f>IF(AND(ISNUMBER(D33),ISNUMBER(J33)),D33*J33,"")</x:f>
      </x:c>
      <x:c r="L33" s="27" t="str">
        <x:v>https://wiki.sifli.com/hardware/SF32LB52B-E-G-J-HW-Application.html</x:v>
      </x:c>
    </x:row>
    <x:row r="34" ht="69" customHeight="1">
      <x:c r="A34" s="17" t="str">
        <x:v>B29</x:v>
      </x:c>
      <x:c r="B34" s="17" t="str">
        <x:v>下载 / 调试触点</x:v>
      </x:c>
      <x:c r="C34" s="17" t="str">
        <x:v>板上测试点，配外部治具</x:v>
      </x:c>
      <x:c r="D34" s="20" t="n">
        <x:v>1</x:v>
      </x:c>
      <x:c r="E34" s="17" t="str">
        <x:v>GND / 参考电压 / SWD 或 UART / RESET</x:v>
      </x:c>
      <x:c r="F34" s="17" t="str">
        <x:v>测试点位置、间距随板确定</x:v>
      </x:c>
      <x:c r="G34" s="17" t="str">
        <x:v>首版保留可恢复下载路径和关键电源测试点。</x:v>
      </x:c>
      <x:c r="H34" s="17" t="str">
        <x:v>避免仅依赖蓝牙升级；触点可达性需在装配前确认。</x:v>
      </x:c>
      <x:c r="I34" s="17" t="str">
        <x:v>随 PCB 实现</x:v>
      </x:c>
      <x:c r="J34" s="24"/>
      <x:c r="K34" s="25" t="str">
        <x:f>IF(AND(ISNUMBER(D34),ISNUMBER(J34)),D34*J34,"")</x:f>
      </x:c>
      <x:c r="L34" s="26" t="str">
        <x:v>https://wiki.sifli.com/hardware/SF32LB52B-E-G-J-HW-Application.html</x:v>
      </x:c>
    </x:row>
    <x:row r="35" ht="69" customHeight="1">
      <x:c r="A35" s="3" t="str">
        <x:v>B30</x:v>
      </x:c>
      <x:c r="B35" s="3" t="str">
        <x:v>绝缘 / 固定 / 密封</x:v>
      </x:c>
      <x:c r="C35" s="3" t="str">
        <x:v>匹配现有机壳的胶、垫片和螺钉</x:v>
      </x:c>
      <x:c r="D35" s="21" t="n">
        <x:v>1</x:v>
      </x:c>
      <x:c r="E35" s="3" t="str">
        <x:v>机械与绝缘附件，一套</x:v>
      </x:c>
      <x:c r="F35" s="3" t="str">
        <x:v>厚度和压缩量按实物</x:v>
      </x:c>
      <x:c r="G35" s="3" t="str">
        <x:v>保持电池绝缘、板子固定和屏幕装配。</x:v>
      </x:c>
      <x:c r="H35" s="3" t="str">
        <x:v>复装后的防水性需要另行测试，不能沿用商品宣传；可能需要薄支架或垫片。</x:v>
      </x:c>
      <x:c r="I35" s="3" t="str">
        <x:v>试装后确定用量</x:v>
      </x:c>
      <x:c r="J35" s="24"/>
      <x:c r="K35" s="25" t="str">
        <x:f>IF(AND(ISNUMBER(D35),ISNUMBER(J35)),D35*J35,"")</x:f>
      </x:c>
      <x:c r="L35" s="27"/>
    </x:row>
    <x:row r="37" ht="33.75" customHeight="1">
      <x:c r="G37" s="29" t="str">
        <x:v>已填单价项目小计</x:v>
      </x:c>
      <x:c r="H37" s="29" t="str">
        <x:v>未报价、选配和待定项目未计入；不是整机总价。</x:v>
      </x:c>
      <x:c r="I37" s="29"/>
      <x:c r="J37" s="29"/>
      <x:c r="K37" s="30" t="str">
        <x:f>IF(COUNT(K6:K35)=0,"",SUM(K6:K35))</x:f>
      </x:c>
      <x:c r="L37" s="29"/>
    </x:row>
    <x:row r="39">
      <x:c r="A39" s="31" t="str">
        <x:v>库存和价格未确认；候选料号需经过屏幕兼容、供电和装配验证后才能冻结。</x:v>
      </x:c>
    </x:row>
  </x:sheetData>
  <x:pageMargins left="0.7" right="0.7" top="0.75" bottom="0.75" header="0.3" footer="0.3"/>
  <x:tableParts count="1">
    <x:tablePart xmlns:r="http://schemas.openxmlformats.org/officeDocument/2006/relationships" r:id="Ra7780a58b43b4a7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30.6299991607666" hidden="0" customWidth="1"/>
    <x:col min="3" max="3" width="43.75" hidden="0" customWidth="1"/>
    <x:col min="4" max="4" width="55" hidden="0" customWidth="1"/>
    <x:col min="5" max="5" width="53.75" hidden="0" customWidth="1"/>
  </x:cols>
  <x:sheetData>
    <x:row r="1" ht="25.5" customHeight="1">
      <x:c r="A1" s="6" t="str">
        <x:v>现有零件复用与装配</x:v>
      </x:c>
      <x:c r="B1" s="7"/>
      <x:c r="C1" s="7"/>
      <x:c r="D1" s="7"/>
      <x:c r="E1" s="7"/>
    </x:row>
    <x:row r="2" ht="18" customHeight="1">
      <x:c r="A2" s="9" t="str">
        <x:v>优先保留机壳、屏幕触摸总成和按键机构；其余按接口与性能验证结果决定。</x:v>
      </x:c>
      <x:c r="B2" s="10"/>
      <x:c r="C2" s="10"/>
      <x:c r="D2" s="10"/>
      <x:c r="E2" s="10"/>
    </x:row>
    <x:row r="3" ht="18" customHeight="1">
      <x:c r="A3" s="9" t="str">
        <x:v>46 mm 为商品标称；工作尺寸统一使用实测 mm。不得直接套用 Apple 原装结构数据。</x:v>
      </x:c>
      <x:c r="B3" s="10"/>
      <x:c r="C3" s="10"/>
      <x:c r="D3" s="10"/>
      <x:c r="E3" s="10"/>
    </x:row>
    <x:row r="4" ht="7.5" customHeight="1">
      <x:c r="A4" s="3"/>
      <x:c r="B4" s="3"/>
      <x:c r="C4" s="3"/>
      <x:c r="D4" s="3"/>
      <x:c r="E4" s="3"/>
    </x:row>
    <x:row r="5" ht="30" customHeight="1">
      <x:c r="A5" s="14" t="str">
        <x:v>项目</x:v>
      </x:c>
      <x:c r="B5" s="15" t="str">
        <x:v>建议</x:v>
      </x:c>
      <x:c r="C5" s="15" t="str">
        <x:v>需要核对的实物信息</x:v>
      </x:c>
      <x:c r="D5" s="15" t="str">
        <x:v>对方案的影响</x:v>
      </x:c>
      <x:c r="E5" s="16" t="str">
        <x:v>依据</x:v>
      </x:c>
    </x:row>
    <x:row r="6" ht="69" customHeight="1">
      <x:c r="A6" s="17" t="str">
        <x:v>目标实物</x:v>
      </x:c>
      <x:c r="B6" s="17" t="str">
        <x:v>华强北“Apple Watch Series 11 GPS 46mm Smartwatch”</x:v>
      </x:c>
      <x:c r="C6" s="17" t="str">
        <x:v>名称按现有商品记录。其内部规格没有经拆机核实。</x:v>
      </x:c>
      <x:c r="D6" s="17" t="str">
        <x:v>使用实物主板和总成作为定位基准，不套用 Apple 原装主板尺寸或接线。</x:v>
      </x:c>
      <x:c r="E6" s="17" t="str">
        <x:v>用户提供；2026-09-11</x:v>
      </x:c>
    </x:row>
    <x:row r="7" ht="69" customHeight="1">
      <x:c r="A7" s="3" t="str">
        <x:v>外壳 / 表带</x:v>
      </x:c>
      <x:c r="B7" s="3" t="str">
        <x:v>优先全部保留</x:v>
      </x:c>
      <x:c r="C7" s="3" t="str">
        <x:v>需要旧板轮廓、孔位、屏幕窗口和主板可用高度。</x:v>
      </x:c>
      <x:c r="D7" s="3" t="str">
        <x:v>可省外观设计；内部布置、板厚和避让仍要核对。</x:v>
      </x:c>
      <x:c r="E7" s="3" t="str">
        <x:v>实物测量待补</x:v>
      </x:c>
    </x:row>
    <x:row r="8" ht="69" customHeight="1">
      <x:c r="A8" s="17" t="str">
        <x:v>显示 + 触摸 + 盖板</x:v>
      </x:c>
      <x:c r="B8" s="17" t="str">
        <x:v>优先保留整套</x:v>
      </x:c>
      <x:c r="C8" s="17" t="str">
        <x:v>记录排线正反面丝印、触摸 IC、针脚、工作电压、初始化和像素尺寸。</x:v>
      </x:c>
      <x:c r="D8" s="17" t="str">
        <x:v>这是主控冻结前置条件。驱动不可得时，才评估相同总成的可驱动替代。</x:v>
      </x:c>
      <x:c r="E8" s="17" t="str">
        <x:v>实物测量待补</x:v>
      </x:c>
    </x:row>
    <x:row r="9" ht="69" customHeight="1">
      <x:c r="A9" s="3" t="str">
        <x:v>屏幕性能</x:v>
      </x:c>
      <x:c r="B9" s="3" t="str">
        <x:v>先测现有屏幕上限</x:v>
      </x:c>
      <x:c r="C9" s="3" t="str">
        <x:v>测刷新率、总线时钟、触摸采样和黑色显示效果。</x:v>
      </x:c>
      <x:c r="D9" s="3" t="str">
        <x:v>现有屏若是低刷新 TFT，保壳方案可能限制界面观感；GPU 无法改变面板本身的上限。</x:v>
      </x:c>
      <x:c r="E9" s="3" t="str">
        <x:v>工程判断，待实测</x:v>
      </x:c>
    </x:row>
    <x:row r="10" ht="69" customHeight="1">
      <x:c r="A10" s="17" t="str">
        <x:v>表冠 / 按键</x:v>
      </x:c>
      <x:c r="B10" s="17" t="str">
        <x:v>保留外部机构，电气件按条件复用</x:v>
      </x:c>
      <x:c r="C10" s="17" t="str">
        <x:v>确认是旋转编码器、光学 / 磁传感器或仅按键；量轴高与按压行程。</x:v>
      </x:c>
      <x:c r="D10" s="17" t="str">
        <x:v>只要旋转检测可用，就可映射滚动；旧板焊接器件需考虑转接与机械固定。</x:v>
      </x:c>
      <x:c r="E10" s="17" t="str">
        <x:v>实物测量待补</x:v>
      </x:c>
    </x:row>
    <x:row r="11" ht="69" customHeight="1">
      <x:c r="A11" s="3" t="str">
        <x:v>电池</x:v>
      </x:c>
      <x:c r="B11" s="3" t="str">
        <x:v>参数与状态合格后复用</x:v>
      </x:c>
      <x:c r="C11" s="3" t="str">
        <x:v>标签、尺寸、实际电压、保护板、NTC 和引脚定义。</x:v>
      </x:c>
      <x:c r="D11" s="3" t="str">
        <x:v>据此设定充电终止电压和电流；换充电 IC 不代表电池参数已知。</x:v>
      </x:c>
      <x:c r="E11" s="3" t="str">
        <x:v>https://www.ti.com/product/BQ25180</x:v>
      </x:c>
    </x:row>
    <x:row r="12" ht="69" customHeight="1">
      <x:c r="A12" s="17" t="str">
        <x:v>振动器</x:v>
      </x:c>
      <x:c r="B12" s="17" t="str">
        <x:v>先识别再决定</x:v>
      </x:c>
      <x:c r="C12" s="17" t="str">
        <x:v>型号、引线、DC 电阻、工作电压；若为 LRA，需谐振参数。</x:v>
      </x:c>
      <x:c r="D12" s="17" t="str">
        <x:v>尽量复用其固定槽；高质量触感取决于驱动、马达和机械耦合。</x:v>
      </x:c>
      <x:c r="E12" s="17" t="str">
        <x:v>https://www.ti.com/product/DRV2605L/part-details/DRV2605LYZFR</x:v>
      </x:c>
    </x:row>
    <x:row r="13" ht="69" customHeight="1">
      <x:c r="A13" s="3" t="str">
        <x:v>充电底座 / 接收件</x:v>
      </x:c>
      <x:c r="B13" s="3" t="str">
        <x:v>能独立提供合适直流输出时复用</x:v>
      </x:c>
      <x:c r="C13" s="3" t="str">
        <x:v>辨认有触点的磁吸充电与无线感应；检查接收电路位于何处。</x:v>
      </x:c>
      <x:c r="D13" s="3" t="str">
        <x:v>接收控制若在旧板上，换板必须补上；线圈不等于完整充电模块。</x:v>
      </x:c>
      <x:c r="E13" s="3" t="str">
        <x:v>实物测量待补</x:v>
      </x:c>
    </x:row>
    <x:row r="14" ht="69" customHeight="1">
      <x:c r="A14" s="17" t="str">
        <x:v>天线</x:v>
      </x:c>
      <x:c r="B14" s="17" t="str">
        <x:v>可分离时优先复用</x:v>
      </x:c>
      <x:c r="C14" s="17" t="str">
        <x:v>辨认 FPC / 弹片 / PCB 天线，记录馈点与接地位置。</x:v>
      </x:c>
      <x:c r="D14" s="17" t="str">
        <x:v>外壳、主板地和电池变化会影响匹配，需要重新测量。</x:v>
      </x:c>
      <x:c r="E14" s="17" t="str">
        <x:v>https://wiki.sifli.com/hardware/SF32LB52B-E-G-J-HW-Application.html</x:v>
      </x:c>
    </x:row>
    <x:row r="15" ht="69" customHeight="1">
      <x:c r="A15" s="3" t="str">
        <x:v>心率 / 血氧</x:v>
      </x:c>
      <x:c r="B15" s="3" t="str">
        <x:v>首版 UI 阶段暂不新增</x:v>
      </x:c>
      <x:c r="C15" s="3" t="str">
        <x:v>保留后盖窗口；原器件需确认真实芯片、光学结构和可用驱动。</x:v>
      </x:c>
      <x:c r="D15" s="3" t="str">
        <x:v>后续做真实测量时独立选型验证，不能直接沿用原表显示的数字作为准确性证据。</x:v>
      </x:c>
      <x:c r="E15" s="3" t="str">
        <x:v>工程范围；未做传感器验证</x:v>
      </x:c>
    </x:row>
    <x:row r="16" ht="69" customHeight="1">
      <x:c r="A16" s="17" t="str">
        <x:v>麦克风 / 扬声器</x:v>
      </x:c>
      <x:c r="B16" s="17" t="str">
        <x:v>首版可保留位置并不装新音频电路</x:v>
      </x:c>
      <x:c r="C16" s="17" t="str">
        <x:v>尺寸、阻抗、偏置、声孔结构及接口。</x:v>
      </x:c>
      <x:c r="D16" s="17" t="str">
        <x:v>界面验证先完成触摸 / 表冠 / 显示；通话会增加固件、电源和声学工作量。</x:v>
      </x:c>
      <x:c r="E16" s="17" t="str">
        <x:v>工程范围；后续选配</x:v>
      </x:c>
    </x:row>
    <x:row r="17" ht="69" customHeight="1">
      <x:c r="A17" s="3" t="str">
        <x:v>“GPS” 标称</x:v>
      </x:c>
      <x:c r="B17" s="3" t="str">
        <x:v>暂不据此选 GNSS 芯片</x:v>
      </x:c>
      <x:c r="C17" s="3" t="str">
        <x:v>该商品名不能证明实物有独立 GNSS 芯片或天线。</x:v>
      </x:c>
      <x:c r="D17" s="3" t="str">
        <x:v>首版可经手机同步位置；若要求独立定位，再做天线和 GNSS 专项选型。</x:v>
      </x:c>
      <x:c r="E17" s="3" t="str">
        <x:v>用户提供的商品名；能力未核实</x:v>
      </x:c>
    </x:row>
    <x:row r="18" ht="69" customHeight="1">
      <x:c r="A18" s="17" t="str">
        <x:v>第一轮装配样件</x:v>
      </x:c>
      <x:c r="B18" s="17" t="str">
        <x:v>先做无电路的 1:1 轮廓 / 厚度模型</x:v>
      </x:c>
      <x:c r="C18" s="17" t="str">
        <x:v>测原板厚度、最高器件、连接器高度、线缆折弯和电池净空。</x:v>
      </x:c>
      <x:c r="D18" s="17" t="str">
        <x:v>合盖不压屏、不压电池、不顶按键后，再确定正式 PCB 厚度和布局。</x:v>
      </x:c>
      <x:c r="E18" s="17" t="str">
        <x:v>工程建议</x:v>
      </x:c>
    </x:row>
    <x:row r="19" ht="69" customHeight="1">
      <x:c r="A19" s="3" t="str">
        <x:v>备选主控条件</x:v>
      </x:c>
      <x:c r="B19" s="3" t="str">
        <x:v>屏幕接口不匹配时改选</x:v>
      </x:c>
      <x:c r="C19" s="3" t="str">
        <x:v>若为 MIPI-DSI 或超出选定 SF32LB52 型号显示能力，重新评估 SF32LB58x。</x:v>
      </x:c>
      <x:c r="D19" s="3" t="str">
        <x:v>这是一条替代分支；当前不同时采购两种主控。</x:v>
      </x:c>
      <x:c r="E19" s="3" t="str">
        <x:v>https://www.sifli.com/en/xinpian</x:v>
      </x:c>
    </x:row>
  </x:sheetData>
  <x:pageMargins left="0.7" right="0.7" top="0.75" bottom="0.75" header="0.3" footer="0.3"/>
  <x:tableParts count="1">
    <x:tablePart xmlns:r="http://schemas.openxmlformats.org/officeDocument/2006/relationships" r:id="R45caf68856774ed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130000114440918" hidden="0" customWidth="1"/>
    <x:col min="2" max="2" width="18.75" hidden="0" customWidth="1"/>
    <x:col min="3" max="3" width="36.25" hidden="0" customWidth="1"/>
    <x:col min="4" max="4" width="8.130000114440918" hidden="0" customWidth="1"/>
    <x:col min="5" max="5" width="20" hidden="0" customWidth="1"/>
    <x:col min="6" max="6" width="41.880001068115234" hidden="0" customWidth="1"/>
    <x:col min="7" max="7" width="47.5" hidden="0" customWidth="1"/>
    <x:col min="8" max="8" width="55" hidden="0" customWidth="1"/>
  </x:cols>
  <x:sheetData>
    <x:row r="1" ht="25.5" customHeight="1">
      <x:c r="A1" s="6" t="str">
        <x:v>先行验证清单</x:v>
      </x:c>
      <x:c r="B1" s="7"/>
      <x:c r="C1" s="7"/>
      <x:c r="D1" s="7"/>
      <x:c r="E1" s="7"/>
      <x:c r="F1" s="7"/>
      <x:c r="G1" s="7"/>
      <x:c r="H1" s="7"/>
    </x:row>
    <x:row r="2" ht="18" customHeight="1">
      <x:c r="A2" s="9" t="str">
        <x:v>先用开发板建立 UI 性能基线，再转接现有屏幕，最后制作能装入机壳的自研板。</x:v>
      </x:c>
      <x:c r="B2" s="10"/>
      <x:c r="C2" s="10"/>
      <x:c r="D2" s="10"/>
      <x:c r="E2" s="10"/>
      <x:c r="F2" s="10"/>
      <x:c r="G2" s="10"/>
      <x:c r="H2" s="10"/>
    </x:row>
    <x:row r="3" ht="18" customHeight="1">
      <x:c r="A3" s="9" t="str">
        <x:v>这页是研发验证物料，不是单机装配 BOM；目前没有下单或购买任何物料。</x:v>
      </x:c>
      <x:c r="B3" s="10"/>
      <x:c r="C3" s="10"/>
      <x:c r="D3" s="10"/>
      <x:c r="E3" s="10"/>
      <x:c r="F3" s="10"/>
      <x:c r="G3" s="10"/>
      <x:c r="H3" s="10"/>
    </x:row>
    <x:row r="4" ht="7.5" customHeight="1">
      <x:c r="A4" s="3"/>
      <x:c r="B4" s="3"/>
      <x:c r="C4" s="3"/>
      <x:c r="D4" s="3"/>
      <x:c r="E4" s="3"/>
      <x:c r="F4" s="3"/>
      <x:c r="G4" s="3"/>
      <x:c r="H4" s="3"/>
    </x:row>
    <x:row r="5" ht="30" customHeight="1">
      <x:c r="A5" s="14" t="str">
        <x:v>编号</x:v>
      </x:c>
      <x:c r="B5" s="15" t="str">
        <x:v>用途</x:v>
      </x:c>
      <x:c r="C5" s="15" t="str">
        <x:v>型号 / 项目</x:v>
      </x:c>
      <x:c r="D5" s="15" t="str">
        <x:v>数量</x:v>
      </x:c>
      <x:c r="E5" s="15" t="str">
        <x:v>安排</x:v>
      </x:c>
      <x:c r="F5" s="15" t="str">
        <x:v>选择理由</x:v>
      </x:c>
      <x:c r="G5" s="15" t="str">
        <x:v>核对事项</x:v>
      </x:c>
      <x:c r="H5" s="16" t="str">
        <x:v>来源</x:v>
      </x:c>
    </x:row>
    <x:row r="6" ht="69" customHeight="1">
      <x:c r="A6" s="17" t="str">
        <x:v>P01</x:v>
      </x:c>
      <x:c r="B6" s="17" t="str">
        <x:v>独立 UI 验证</x:v>
      </x:c>
      <x:c r="C6" s="17" t="str">
        <x:v>SF32LB52-DevKit-LCD，N16R8 配置</x:v>
      </x:c>
      <x:c r="D6" s="20" t="n">
        <x:v>1</x:v>
      </x:c>
      <x:c r="E6" s="17" t="str">
        <x:v>先买 1 套</x:v>
      </x:c>
      <x:c r="F6" s="17" t="str">
        <x:v>官方 SDK 已有对应 BSP；16 MB Flash / 8 MB PSRAM 配置适合开始 UI 工作。</x:v>
      </x:c>
      <x:c r="G6" s="17" t="str">
        <x:v>采购时核对套装确含匹配显示屏及转接件；开发板仅在台架使用，不装进表壳。</x:v>
      </x:c>
      <x:c r="H6" s="17" t="str">
        <x:v>https://docs.sifli.com/projects/sdk/latest/sf32lb52x/supported_boards/boards/sf32lb52-lcd_n16r8/doc/index.html</x:v>
      </x:c>
    </x:row>
    <x:row r="7" ht="69" customHeight="1">
      <x:c r="A7" s="3" t="str">
        <x:v>P02</x:v>
      </x:c>
      <x:c r="B7" s="3" t="str">
        <x:v>开发板配套屏</x:v>
      </x:c>
      <x:c r="C7" s="3" t="str">
        <x:v>LCD_1P85_390*450_DevKit_Adapter_V1.0.0</x:v>
      </x:c>
      <x:c r="D7" s="21"/>
      <x:c r="E7" s="3" t="str">
        <x:v>随 P01 核对，不重复买</x:v>
      </x:c>
      <x:c r="F7" s="3" t="str">
        <x:v>官方 P01 文档默认的 1.85 英寸 390 × 450 QSPI 显示组合。</x:v>
      </x:c>
      <x:c r="G7" s="3" t="str">
        <x:v>这是已知驱动的开发屏，不保证能装入现有手表；P01 已含则不另买。</x:v>
      </x:c>
      <x:c r="H7" s="3" t="str">
        <x:v>https://docs.sifli.com/projects/sdk/latest/sf32lb52x/supported_boards/boards/sf32lb52-lcd_n16r8/doc/index.html</x:v>
      </x:c>
    </x:row>
    <x:row r="8" ht="69" customHeight="1">
      <x:c r="A8" s="17" t="str">
        <x:v>P03</x:v>
      </x:c>
      <x:c r="B8" s="17" t="str">
        <x:v>现有手表</x:v>
      </x:c>
      <x:c r="C8" s="17" t="str">
        <x:v>用户已有华强北 S11 46 mm 手表</x:v>
      </x:c>
      <x:c r="D8" s="20" t="n">
        <x:v>1</x:v>
      </x:c>
      <x:c r="E8" s="17" t="str">
        <x:v>已有，先保留完整记录</x:v>
      </x:c>
      <x:c r="F8" s="17" t="str">
        <x:v>作为外壳、屏幕、排线、电池、按键和马达的实物来源。</x:v>
      </x:c>
      <x:c r="G8" s="17" t="str">
        <x:v>拆开前记录现有工作状态；拆后以照片、标尺和实测建立连接表。</x:v>
      </x:c>
      <x:c r="H8" s="17" t="str">
        <x:v>用户已购实物</x:v>
      </x:c>
    </x:row>
    <x:row r="9" ht="69" customHeight="1">
      <x:c r="A9" s="3" t="str">
        <x:v>P04</x:v>
      </x:c>
      <x:c r="B9" s="3" t="str">
        <x:v>接口识别 / 转接</x:v>
      </x:c>
      <x:c r="C9" s="3" t="str">
        <x:v>与实物排线匹配的转接板</x:v>
      </x:c>
      <x:c r="D9" s="21"/>
      <x:c r="E9" s="3" t="str">
        <x:v>暂不采购</x:v>
      </x:c>
      <x:c r="F9" s="3" t="str">
        <x:v>识别屏幕后用于从开发板驱动现有屏幕。</x:v>
      </x:c>
      <x:c r="G9" s="3" t="str">
        <x:v>针数、间距、接触面和电源未确认前，不购买通用 FPC 座。</x:v>
      </x:c>
      <x:c r="H9" s="3" t="str">
        <x:v>实物信息待补</x:v>
      </x:c>
    </x:row>
    <x:row r="10" ht="69" customHeight="1">
      <x:c r="A10" s="17" t="str">
        <x:v>P05</x:v>
      </x:c>
      <x:c r="B10" s="17" t="str">
        <x:v>焊接板上核心 IC</x:v>
      </x:c>
      <x:c r="C10" s="17" t="str">
        <x:v>B01–B12 的适用项</x:v>
      </x:c>
      <x:c r="D10" s="20"/>
      <x:c r="E10" s="17" t="str">
        <x:v>屏幕和电源确认后少量采购</x:v>
      </x:c>
      <x:c r="F10" s="17" t="str">
        <x:v>将已验证的芯片与实际屏幕、马达、电池组合到自研板。</x:v>
      </x:c>
      <x:c r="G10" s="17" t="str">
        <x:v>不应把本页开发板与装机 BOM 加总成一块手表成本。</x:v>
      </x:c>
      <x:c r="H10" s="17" t="str">
        <x:v>对应 BOM 官方来源</x:v>
      </x:c>
    </x:row>
    <x:row r="11" ht="69" customHeight="1">
      <x:c r="A11" s="3" t="str">
        <x:v>P06</x:v>
      </x:c>
      <x:c r="B11" s="3" t="str">
        <x:v>机械适配样件</x:v>
      </x:c>
      <x:c r="C11" s="3" t="str">
        <x:v>1:1 主板轮廓 / 厚度模型</x:v>
      </x:c>
      <x:c r="D11" s="21" t="n">
        <x:v>1</x:v>
      </x:c>
      <x:c r="E11" s="3" t="str">
        <x:v>量出尺寸后制作</x:v>
      </x:c>
      <x:c r="F11" s="3" t="str">
        <x:v>先验证螺钉、连接器、电池净空与合盖干涉。</x:v>
      </x:c>
      <x:c r="G11" s="3" t="str">
        <x:v>可采用纸板 / 薄板或打印样件；材料厚度须匹配测量目标。</x:v>
      </x:c>
      <x:c r="H11" s="3" t="str">
        <x:v>工程建议</x:v>
      </x:c>
    </x:row>
    <x:row r="12" ht="69" customHeight="1">
      <x:c r="A12" s="17" t="str">
        <x:v>P07</x:v>
      </x:c>
      <x:c r="B12" s="17" t="str">
        <x:v>测量与调试工具</x:v>
      </x:c>
      <x:c r="C12" s="17" t="str">
        <x:v>优先复用现有仪器</x:v>
      </x:c>
      <x:c r="D12" s="20"/>
      <x:c r="E12" s="17" t="str">
        <x:v>先检查已有工具</x:v>
      </x:c>
      <x:c r="F12" s="17" t="str">
        <x:v>万用表、显微观察、受控电源、卡尺；低速总线可用逻辑分析仪。</x:v>
      </x:c>
      <x:c r="G12" s="17" t="str">
        <x:v>高速度差分总线不能默认由普通逻辑分析仪解析；按实际总线选择测量方法。</x:v>
      </x:c>
      <x:c r="H12" s="17" t="str">
        <x:v>工程建议</x:v>
      </x:c>
    </x:row>
  </x:sheetData>
  <x:pageMargins left="0.7" right="0.7" top="0.75" bottom="0.75" header="0.3" footer="0.3"/>
  <x:tableParts count="1">
    <x:tablePart xmlns:r="http://schemas.openxmlformats.org/officeDocument/2006/relationships" r:id="Ra773a6bea027430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.5" hidden="0" customWidth="1"/>
    <x:col min="2" max="2" width="17.5" hidden="0" customWidth="1"/>
    <x:col min="3" max="3" width="12.5" hidden="0" customWidth="1"/>
    <x:col min="4" max="4" width="86.25" hidden="0" customWidth="1"/>
  </x:cols>
  <x:sheetData>
    <x:row r="1" ht="25.5" customHeight="1">
      <x:c r="A1" s="6" t="str">
        <x:v>图形与电源资源预算</x:v>
      </x:c>
      <x:c r="B1" s="7"/>
      <x:c r="C1" s="7"/>
      <x:c r="D1" s="7"/>
    </x:row>
    <x:row r="2" ht="18" customHeight="1">
      <x:c r="A2" s="9" t="str">
        <x:v>黄色格为示例输入或待测输入；蓝灰色格为公式结果。所有示例参数均可修改。</x:v>
      </x:c>
      <x:c r="B2" s="10"/>
      <x:c r="C2" s="10"/>
      <x:c r="D2" s="10"/>
    </x:row>
    <x:row r="3" ht="18" customHeight="1">
      <x:c r="A3" s="9" t="str">
        <x:v>显示总线仅用于算术预算；真实帧率还受面板刷新、绘制、缓存与传输并发影响。</x:v>
      </x:c>
      <x:c r="B3" s="10"/>
      <x:c r="C3" s="10"/>
      <x:c r="D3" s="10"/>
    </x:row>
    <x:row r="4" ht="7.5" customHeight="1">
      <x:c r="A4" s="3"/>
      <x:c r="B4" s="3"/>
      <x:c r="C4" s="3"/>
      <x:c r="D4" s="3"/>
    </x:row>
    <x:row r="5" ht="30" customHeight="1">
      <x:c r="A5" s="14" t="str">
        <x:v>参数 / 结果</x:v>
      </x:c>
      <x:c r="B5" s="15" t="str">
        <x:v>值</x:v>
      </x:c>
      <x:c r="C5" s="15" t="str">
        <x:v>单位</x:v>
      </x:c>
      <x:c r="D5" s="16" t="str">
        <x:v>说明</x:v>
      </x:c>
    </x:row>
    <x:row r="6" ht="36.75" customHeight="1">
      <x:c r="A6" s="17" t="str">
        <x:v>显示宽度</x:v>
      </x:c>
      <x:c r="B6" s="38" t="n">
        <x:v>400</x:v>
      </x:c>
      <x:c r="C6" s="17" t="str">
        <x:v>px</x:v>
      </x:c>
      <x:c r="D6" s="17" t="str">
        <x:v>计算示例，必须替换为实物像素宽度。</x:v>
      </x:c>
    </x:row>
    <x:row r="7" ht="36.75" customHeight="1">
      <x:c r="A7" s="3" t="str">
        <x:v>显示高度</x:v>
      </x:c>
      <x:c r="B7" s="38" t="n">
        <x:v>480</x:v>
      </x:c>
      <x:c r="C7" s="3" t="str">
        <x:v>px</x:v>
      </x:c>
      <x:c r="D7" s="3" t="str">
        <x:v>计算示例，不能由商品名 46 mm 推出。</x:v>
      </x:c>
    </x:row>
    <x:row r="8" ht="36.75" customHeight="1">
      <x:c r="A8" s="17" t="str">
        <x:v>每像素字节数</x:v>
      </x:c>
      <x:c r="B8" s="38" t="n">
        <x:v>2</x:v>
      </x:c>
      <x:c r="C8" s="17" t="str">
        <x:v>B/px</x:v>
      </x:c>
      <x:c r="D8" s="17" t="str">
        <x:v>示例 RGB565；ARGB8888 使用 4。</x:v>
      </x:c>
    </x:row>
    <x:row r="9" ht="36.75" customHeight="1">
      <x:c r="A9" s="3" t="str">
        <x:v>帧缓冲数量</x:v>
      </x:c>
      <x:c r="B9" s="38" t="n">
        <x:v>2</x:v>
      </x:c>
      <x:c r="C9" s="3" t="str">
        <x:v>个</x:v>
      </x:c>
      <x:c r="D9" s="3" t="str">
        <x:v>用于双缓冲容量预算，具体渲染模式由驱动决定。</x:v>
      </x:c>
    </x:row>
    <x:row r="10" ht="36.75" customHeight="1">
      <x:c r="A10" s="17" t="str">
        <x:v>目标刷新率</x:v>
      </x:c>
      <x:c r="B10" s="38" t="n">
        <x:v>60</x:v>
      </x:c>
      <x:c r="C10" s="17" t="str">
        <x:v>fps</x:v>
      </x:c>
      <x:c r="D10" s="17" t="str">
        <x:v>设计目标，尚未在实物验证。</x:v>
      </x:c>
    </x:row>
    <x:row r="11" ht="36.75" customHeight="1">
      <x:c r="A11" s="3" t="str">
        <x:v>显示总线时钟</x:v>
      </x:c>
      <x:c r="B11" s="38" t="n">
        <x:v>80</x:v>
      </x:c>
      <x:c r="C11" s="3" t="str">
        <x:v>MHz</x:v>
      </x:c>
      <x:c r="D11" s="3" t="str">
        <x:v>示例参数；按面板时序与布线能力确认。</x:v>
      </x:c>
    </x:row>
    <x:row r="12" ht="36.75" customHeight="1">
      <x:c r="A12" s="17" t="str">
        <x:v>每拍数据位数</x:v>
      </x:c>
      <x:c r="B12" s="38" t="n">
        <x:v>4</x:v>
      </x:c>
      <x:c r="C12" s="17" t="str">
        <x:v>bit/clock</x:v>
      </x:c>
      <x:c r="D12" s="17" t="str">
        <x:v>示例为四数据线、单沿传输；不是现有屏幕的已知接口。</x:v>
      </x:c>
    </x:row>
    <x:row r="13" ht="36.75" customHeight="1">
      <x:c r="A13" s="3" t="str">
        <x:v>总线有效利用系数</x:v>
      </x:c>
      <x:c r="B13" s="36" t="n">
        <x:v>0.7</x:v>
      </x:c>
      <x:c r="C13" s="3" t="str">
        <x:v>比例</x:v>
      </x:c>
      <x:c r="D13" s="3" t="str">
        <x:v>工程计算假设，包含命令与传输间隙；不是实测值。</x:v>
      </x:c>
    </x:row>
    <x:row r="14" ht="36.75" customHeight="1">
      <x:c r="A14" s="17" t="str">
        <x:v>单帧数据量</x:v>
      </x:c>
      <x:c r="B14" s="39" t="n">
        <x:f>B6*B7*B8</x:f>
        <x:v>384000</x:v>
      </x:c>
      <x:c r="C14" s="17" t="str">
        <x:v>B</x:v>
      </x:c>
      <x:c r="D14" s="17" t="str">
        <x:v>宽 × 高 × 每像素字节数。</x:v>
      </x:c>
    </x:row>
    <x:row r="15" ht="36.75" customHeight="1">
      <x:c r="A15" s="3" t="str">
        <x:v>帧缓冲总容量</x:v>
      </x:c>
      <x:c r="B15" s="35" t="n">
        <x:f>B14*B9/1024</x:f>
        <x:v>750</x:v>
      </x:c>
      <x:c r="C15" s="3" t="str">
        <x:v>KiB</x:v>
      </x:c>
      <x:c r="D15" s="3" t="str">
        <x:v>1 KiB = 1024 B。</x:v>
      </x:c>
    </x:row>
    <x:row r="16" ht="36.75" customHeight="1">
      <x:c r="A16" s="17" t="str">
        <x:v>全屏刷新的数据量</x:v>
      </x:c>
      <x:c r="B16" s="35" t="n">
        <x:f>B14*B10/1000000</x:f>
        <x:v>23.04</x:v>
      </x:c>
      <x:c r="C16" s="17" t="str">
        <x:v>MB/s</x:v>
      </x:c>
      <x:c r="D16" s="17" t="str">
        <x:v>十进制 MB/s；不包含额外渲染读写。</x:v>
      </x:c>
    </x:row>
    <x:row r="17" ht="36.75" customHeight="1">
      <x:c r="A17" s="3" t="str">
        <x:v>总线理论吞吐</x:v>
      </x:c>
      <x:c r="B17" s="35" t="n">
        <x:f>B11*B12/8</x:f>
        <x:v>40</x:v>
      </x:c>
      <x:c r="C17" s="3" t="str">
        <x:v>MB/s</x:v>
      </x:c>
      <x:c r="D17" s="3" t="str">
        <x:v>时钟 × 数据线位数 / 8。</x:v>
      </x:c>
    </x:row>
    <x:row r="18" ht="36.75" customHeight="1">
      <x:c r="A18" s="17" t="str">
        <x:v>估算有效吞吐</x:v>
      </x:c>
      <x:c r="B18" s="35" t="n">
        <x:f>B17*B13</x:f>
        <x:v>28</x:v>
      </x:c>
      <x:c r="C18" s="17" t="str">
        <x:v>MB/s</x:v>
      </x:c>
      <x:c r="D18" s="17" t="str">
        <x:v>只用于前期预算，不能据此保证 60 fps。</x:v>
      </x:c>
    </x:row>
    <x:row r="19" ht="36.75" customHeight="1">
      <x:c r="A19" s="3" t="str">
        <x:v>刷新占估算吞吐</x:v>
      </x:c>
      <x:c r="B19" s="37" t="n">
        <x:f>IF(B18&gt;0,B16/B18,"")</x:f>
        <x:v>0.8228571428571428</x:v>
      </x:c>
      <x:c r="C19" s="3" t="str">
        <x:v>比例</x:v>
      </x:c>
      <x:c r="D19" s="3" t="str">
        <x:v>低于 100% 也仍需检查 GPU、内存争用与面板扫描时序。</x:v>
      </x:c>
    </x:row>
    <x:row r="20" ht="36.75" customHeight="1">
      <x:c r="A20" s="17" t="str">
        <x:v>单帧时间预算</x:v>
      </x:c>
      <x:c r="B20" s="35" t="n">
        <x:f>IF(B10&gt;0,1000/B10,"")</x:f>
        <x:v>16.666666666666668</x:v>
      </x:c>
      <x:c r="C20" s="17" t="str">
        <x:v>ms</x:v>
      </x:c>
      <x:c r="D20" s="17" t="str">
        <x:v>1 秒 / 目标帧率。</x:v>
      </x:c>
    </x:row>
    <x:row r="21" ht="36.75" customHeight="1">
      <x:c r="A21" s="3" t="str">
        <x:v>实际触摸采样率</x:v>
      </x:c>
      <x:c r="B21" s="38"/>
      <x:c r="C21" s="3" t="str">
        <x:v>Hz</x:v>
      </x:c>
      <x:c r="D21" s="3" t="str">
        <x:v>待实测；不能用渲染帧率代替触摸输入速率。</x:v>
      </x:c>
    </x:row>
    <x:row r="22" ht="36.75" customHeight="1">
      <x:c r="A22" s="17" t="str">
        <x:v>实测触摸到显示延迟</x:v>
      </x:c>
      <x:c r="B22" s="34"/>
      <x:c r="C22" s="17" t="str">
        <x:v>ms</x:v>
      </x:c>
      <x:c r="D22" s="17" t="str">
        <x:v>用同步触发或高速视频评估，记录典型值与较差情况。</x:v>
      </x:c>
    </x:row>
    <x:row r="23" ht="36.75" customHeight="1">
      <x:c r="A23" s="3" t="str">
        <x:v>设计用 PSRAM</x:v>
      </x:c>
      <x:c r="B23" s="38" t="n">
        <x:v>16</x:v>
      </x:c>
      <x:c r="C23" s="3" t="str">
        <x:v>MiB</x:v>
      </x:c>
      <x:c r="D23" s="3" t="str">
        <x:v>B01 合封容量。P01 为 8 MB，试验时需改成 8 并相应缩减下方缓存预算。</x:v>
      </x:c>
    </x:row>
    <x:row r="24" ht="36.75" customHeight="1">
      <x:c r="A24" s="17" t="str">
        <x:v>双缓冲占用</x:v>
      </x:c>
      <x:c r="B24" s="35" t="n">
        <x:f>B15/1024</x:f>
        <x:v>0.732421875</x:v>
      </x:c>
      <x:c r="C24" s="17" t="str">
        <x:v>MiB</x:v>
      </x:c>
      <x:c r="D24" s="17" t="str">
        <x:v>由本页帧缓冲公式计算。</x:v>
      </x:c>
    </x:row>
    <x:row r="25" ht="36.75" customHeight="1">
      <x:c r="A25" s="3" t="str">
        <x:v>图像资源缓存预算</x:v>
      </x:c>
      <x:c r="B25" s="34" t="n">
        <x:v>4</x:v>
      </x:c>
      <x:c r="C25" s="3" t="str">
        <x:v>MiB</x:v>
      </x:c>
      <x:c r="D25" s="3" t="str">
        <x:v>工程初始预算，可调整。</x:v>
      </x:c>
    </x:row>
    <x:row r="26" ht="36.75" customHeight="1">
      <x:c r="A26" s="17" t="str">
        <x:v>字体缓存预算</x:v>
      </x:c>
      <x:c r="B26" s="34" t="n">
        <x:v>1</x:v>
      </x:c>
      <x:c r="C26" s="17" t="str">
        <x:v>MiB</x:v>
      </x:c>
      <x:c r="D26" s="17" t="str">
        <x:v>工程初始预算，可调整。</x:v>
      </x:c>
    </x:row>
    <x:row r="27" ht="36.75" customHeight="1">
      <x:c r="A27" s="3" t="str">
        <x:v>临时合成 / 解码预算</x:v>
      </x:c>
      <x:c r="B27" s="34" t="n">
        <x:v>2</x:v>
      </x:c>
      <x:c r="C27" s="3" t="str">
        <x:v>MiB</x:v>
      </x:c>
      <x:c r="D27" s="3" t="str">
        <x:v>工程初始预算，可调整。</x:v>
      </x:c>
    </x:row>
    <x:row r="28" ht="36.75" customHeight="1">
      <x:c r="A28" s="17" t="str">
        <x:v>其他 PSRAM 预算</x:v>
      </x:c>
      <x:c r="B28" s="34" t="n">
        <x:v>1</x:v>
      </x:c>
      <x:c r="C28" s="17" t="str">
        <x:v>MiB</x:v>
      </x:c>
      <x:c r="D28" s="17" t="str">
        <x:v>不代表所有 DMA 或任务栈都可放在 PSRAM。</x:v>
      </x:c>
    </x:row>
    <x:row r="29" ht="36.75" customHeight="1">
      <x:c r="A29" s="3" t="str">
        <x:v>已分配 PSRAM 预算</x:v>
      </x:c>
      <x:c r="B29" s="35" t="n">
        <x:f>SUM(B24:B28)</x:f>
        <x:v>8.732421875</x:v>
      </x:c>
      <x:c r="C29" s="3" t="str">
        <x:v>MiB</x:v>
      </x:c>
      <x:c r="D29" s="3" t="str">
        <x:v>各项预算合计。</x:v>
      </x:c>
    </x:row>
    <x:row r="30" ht="36.75" customHeight="1">
      <x:c r="A30" s="17" t="str">
        <x:v>PSRAM 剩余预算</x:v>
      </x:c>
      <x:c r="B30" s="35" t="n">
        <x:f>B23-B29</x:f>
        <x:v>7.267578125</x:v>
      </x:c>
      <x:c r="C30" s="17" t="str">
        <x:v>MiB</x:v>
      </x:c>
      <x:c r="D30" s="17" t="str">
        <x:v>不足时应调整图形资源或架构。</x:v>
      </x:c>
    </x:row>
    <x:row r="31" ht="36.75" customHeight="1">
      <x:c r="A31" s="3" t="str">
        <x:v>PSRAM 剩余比例</x:v>
      </x:c>
      <x:c r="B31" s="37" t="n">
        <x:f>IF(B23&gt;0,B30/B23,"")</x:f>
        <x:v>0.4542236328125</x:v>
      </x:c>
      <x:c r="C31" s="3" t="str">
        <x:v>比例</x:v>
      </x:c>
      <x:c r="D31" s="3" t="str">
        <x:v>预留余量供缓存峰值和后续功能。</x:v>
      </x:c>
    </x:row>
    <x:row r="32" ht="36.75" customHeight="1">
      <x:c r="A32" s="17" t="str">
        <x:v>片内 SRAM</x:v>
      </x:c>
      <x:c r="B32" s="40" t="n">
        <x:v>576</x:v>
      </x:c>
      <x:c r="C32" s="17" t="str">
        <x:v>KiB</x:v>
      </x:c>
      <x:c r="D32" s="17" t="str">
        <x:v>芯片资料值；RTOS、协议栈、DMA 与双核分配须看 BSP 链接布局。</x:v>
      </x:c>
    </x:row>
    <x:row r="33" ht="36.75" customHeight="1">
      <x:c r="A33" s="3" t="str">
        <x:v>电池示例容量</x:v>
      </x:c>
      <x:c r="B33" s="38" t="n">
        <x:v>300</x:v>
      </x:c>
      <x:c r="C33" s="3" t="str">
        <x:v>mAh</x:v>
      </x:c>
      <x:c r="D33" s="3" t="str">
        <x:v>纯计算示例，不是对现有电池容量的判断。</x:v>
      </x:c>
    </x:row>
    <x:row r="34" ht="36.75" customHeight="1">
      <x:c r="A34" s="17" t="str">
        <x:v>电池可用容量系数</x:v>
      </x:c>
      <x:c r="B34" s="36" t="n">
        <x:v>0.8</x:v>
      </x:c>
      <x:c r="C34" s="17" t="str">
        <x:v>比例</x:v>
      </x:c>
      <x:c r="D34" s="17" t="str">
        <x:v>工程估算；受温度、老化与关机阈值影响。</x:v>
      </x:c>
    </x:row>
    <x:row r="35" ht="36.75" customHeight="1">
      <x:c r="A35" s="3" t="str">
        <x:v>目标运行时间</x:v>
      </x:c>
      <x:c r="B35" s="34" t="n">
        <x:v>24</x:v>
      </x:c>
      <x:c r="C35" s="3" t="str">
        <x:v>h</x:v>
      </x:c>
      <x:c r="D35" s="3" t="str">
        <x:v>用于倒推平均电流上限。</x:v>
      </x:c>
    </x:row>
    <x:row r="36" ht="36.75" customHeight="1">
      <x:c r="A36" s="17" t="str">
        <x:v>电池侧平均电流上限</x:v>
      </x:c>
      <x:c r="B36" s="35" t="n">
        <x:f>IF(B35&gt;0,B33*B34/B35,"")</x:f>
        <x:v>10</x:v>
      </x:c>
      <x:c r="C36" s="17" t="str">
        <x:v>mA</x:v>
      </x:c>
      <x:c r="D36" s="17" t="str">
        <x:v>要求在电池侧测量，以纳入各电源转换损耗。</x:v>
      </x:c>
    </x:row>
    <x:row r="37" ht="36.75" customHeight="1">
      <x:c r="A37" s="3" t="str">
        <x:v>实测电池侧平均电流</x:v>
      </x:c>
      <x:c r="B37" s="34"/>
      <x:c r="C37" s="3" t="str">
        <x:v>mA</x:v>
      </x:c>
      <x:c r="D37" s="3" t="str">
        <x:v>留空直到完成指定亮屏、蓝牙与振动占空比测试。</x:v>
      </x:c>
    </x:row>
    <x:row r="38" ht="36.75" customHeight="1">
      <x:c r="A38" s="17" t="str">
        <x:v>按实测电流估算续航</x:v>
      </x:c>
      <x:c r="B38" s="35" t="str">
        <x:f>IF(ISNUMBER(B37),IF(B37&gt;0,B33*B34/B37,""),"")</x:f>
      </x:c>
      <x:c r="C38" s="17" t="str">
        <x:v>h</x:v>
      </x:c>
      <x:c r="D38" s="17" t="str">
        <x:v>估算值，仍需完整放电验证。</x:v>
      </x:c>
    </x:row>
    <x:row r="40">
      <x:c r="A40" s="41" t="str">
        <x:v>软件与测试依据</x:v>
      </x:c>
    </x:row>
    <x:row r="41" ht="48" customHeight="1">
      <x:c r="A41" s="3" t="str">
        <x:v>LVGL 缓冲模式</x:v>
      </x:c>
      <x:c r="B41" s="3"/>
      <x:c r="C41" s="3"/>
      <x:c r="D41" s="3" t="str">
        <x:v>https://lvgl.io/docs/open/9.0/porting/display.html</x:v>
      </x:c>
    </x:row>
    <x:row r="42" ht="48" customHeight="1">
      <x:c r="A42" s="3" t="str">
        <x:v>SiFli 电路和时钟</x:v>
      </x:c>
      <x:c r="B42" s="3"/>
      <x:c r="C42" s="3"/>
      <x:c r="D42" s="3" t="str">
        <x:v>https://wiki.sifli.com/hardware/SF32LB52B-E-G-J-HW-Application.html</x:v>
      </x:c>
    </x:row>
    <x:row r="43" ht="48" customHeight="1">
      <x:c r="A43" s="3" t="str">
        <x:v>单机软件架构</x:v>
      </x:c>
      <x:c r="B43" s="3"/>
      <x:c r="C43" s="3"/>
      <x:c r="D43" s="3" t="str">
        <x:v>SiFli SDK 对应 BSP + RTOS + LVGL。界面线程不阻塞采样；表冠 / 触摸事件排队处理，短中断，保留看门狗与恢复下载。</x:v>
      </x:c>
    </x:row>
    <x:row r="44" ht="48" customHeight="1">
      <x:c r="A44" s="3" t="str">
        <x:v>实机验证项目</x:v>
      </x:c>
      <x:c r="B44" s="3"/>
      <x:c r="C44" s="3"/>
      <x:c r="D44" s="3" t="str">
        <x:v>测全屏滑动、图标缩放、卡片转场的帧时间；同时测 BLE 重连、任务栈余量、关屏电流、充电温升及完整外壳下的射频表现。</x:v>
      </x:c>
    </x:row>
  </x:sheetData>
  <x:pageMargins left="0.7" right="0.7" top="0.75" bottom="0.75" header="0.3" footer="0.3"/>
  <x:tableParts count="1">
    <x:tablePart xmlns:r="http://schemas.openxmlformats.org/officeDocument/2006/relationships" r:id="R638e6ae81d054bb0"/>
  </x:tableParts>
</x:worksheet>
</file>