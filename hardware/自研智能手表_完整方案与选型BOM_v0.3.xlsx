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ca100a20af45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方案比较" sheetId="1" r:id="R56abf83adcfd420c"/>
    <x:sheet xmlns:r="http://schemas.openxmlformats.org/officeDocument/2006/relationships" name="功能验收" sheetId="2" r:id="R1e905f3d2c4d4777"/>
    <x:sheet xmlns:r="http://schemas.openxmlformats.org/officeDocument/2006/relationships" name="整机BOM" sheetId="3" r:id="R147d0cc9736d4fcb"/>
    <x:sheet xmlns:r="http://schemas.openxmlformats.org/officeDocument/2006/relationships" name="开发采购" sheetId="4" r:id="R900420546a7f4fd3"/>
    <x:sheet xmlns:r="http://schemas.openxmlformats.org/officeDocument/2006/relationships" name="资源预算" sheetId="5" r:id="Re28c197a05cc431a"/>
    <x:sheet xmlns:r="http://schemas.openxmlformats.org/officeDocument/2006/relationships" name="推进计划" sheetId="6" r:id="R8cbf01b3d37f4203"/>
    <x:sheet xmlns:r="http://schemas.openxmlformats.org/officeDocument/2006/relationships" name="资料来源" sheetId="7" r:id="Rcd38a3bf36c544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&quot;$&quot;#,##0.00"/>
    <x:numFmt numFmtId="202" formatCode="#,##0.0"/>
    <x:numFmt numFmtId="203" formatCode="#,##0"/>
    <x:numFmt numFmtId="204" formatCode="0.00"/>
    <x:numFmt numFmtId="205" formatCode="0%"/>
    <x:numFmt numFmtId="206" formatCode="yyyy-mm-dd"/>
  </x:numFmts>
  <x:fonts count="5">
    <x:font>
      <x:sz val="11"/>
      <x:name val="Carlito"/>
    </x:font>
    <x:font>
      <x:sz val="11"/>
      <x:color rgb="FF1D2733"/>
      <x:name val="Arial"/>
    </x:font>
    <x:font>
      <x:b/>
      <x:sz val="17"/>
      <x:color rgb="FF1D2733"/>
      <x:name val="Arial"/>
    </x:font>
    <x:font>
      <x:sz val="10"/>
      <x:color rgb="FF5D6A79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84665"/>
      </x:patternFill>
    </x:fill>
    <x:fill>
      <x:patternFill patternType="solid">
        <x:fgColor rgb="FFF1F4F8"/>
      </x:patternFill>
    </x:fill>
    <x:fill>
      <x:patternFill patternType="solid">
        <x:fgColor rgb="FFFFFFFF"/>
      </x:patternFill>
    </x:fill>
    <x:fill>
      <x:patternFill patternType="solid">
        <x:fgColor rgb="FFFFF3CC"/>
      </x:patternFill>
    </x:fill>
  </x:fills>
  <x:borders count="5">
    <x:border/>
    <x:border>
      <x:bottom style="thin">
        <x:color rgb="FFD7DEE7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200" fontId="1" fillId="3" borderId="1" xfId="0" applyNumberFormat="1" applyFont="1" applyFill="1" applyBorder="1" applyAlignment="1">
      <x:alignment vertical="top" wrapText="1"/>
    </x:xf>
    <x:xf numFmtId="200" fontId="1" fillId="4" borderId="1" xfId="0" applyNumberFormat="1" applyFont="1" applyFill="1" applyBorder="1" applyAlignment="1">
      <x:alignment vertical="top" wrapText="1"/>
    </x:xf>
    <x:xf numFmtId="200" fontId="1" fillId="3" borderId="1" xfId="0" applyNumberFormat="1" applyFont="1" applyFill="1" applyBorder="1" applyAlignment="1">
      <x:alignment horizontal="right" vertical="top" wrapText="1"/>
    </x:xf>
    <x:xf numFmtId="200" fontId="1" fillId="4" borderId="1" xfId="0" applyNumberFormat="1" applyFont="1" applyFill="1" applyBorder="1" applyAlignment="1">
      <x:alignment horizontal="right" vertical="top" wrapText="1"/>
    </x:xf>
    <x:xf numFmtId="201" fontId="1" fillId="3" borderId="1" xfId="0" applyNumberFormat="1" applyFont="1" applyFill="1" applyBorder="1" applyAlignment="1">
      <x:alignment vertical="top" wrapText="1"/>
    </x:xf>
    <x:xf numFmtId="201" fontId="1" fillId="4" borderId="1" xfId="0" applyNumberFormat="1" applyFont="1" applyFill="1" applyBorder="1" applyAlignment="1">
      <x:alignment vertical="top" wrapText="1"/>
    </x:xf>
    <x:xf numFmtId="201" fontId="1" fillId="5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4" fillId="2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5" borderId="0" xfId="0" applyNumberFormat="1" applyFont="1" applyFill="1" applyBorder="1" applyAlignment="1">
      <x:alignment vertical="center"/>
    </x:xf>
    <x:xf numFmtId="205" fontId="1" fillId="5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3" fontId="1" fillId="5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5" fontId="1" fillId="5" borderId="0" xfId="0" applyNumberFormat="1" applyFont="1" applyFill="1" applyBorder="1" applyAlignment="1">
      <x:alignment vertical="center" wrapText="1"/>
    </x:xf>
    <x:xf numFmtId="204" fontId="1" fillId="5" borderId="0" xfId="0" applyNumberFormat="1" applyFont="1" applyFill="1" applyBorder="1" applyAlignment="1">
      <x:alignment vertical="center" wrapText="1"/>
    </x:xf>
    <x:xf numFmtId="202" fontId="4" fillId="2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6" fontId="1" fillId="3" borderId="1" xfId="0" applyNumberFormat="1" applyFont="1" applyFill="1" applyBorder="1" applyAlignment="1">
      <x:alignment vertical="top" wrapText="1"/>
    </x:xf>
    <x:xf numFmtId="206" fontId="1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e7ee8d57c5463f" /><Relationship Type="http://schemas.openxmlformats.org/officeDocument/2006/relationships/theme" Target="/xl/theme/theme1.xml" Id="Re530cd06d8b640a2" /><Relationship Type="http://schemas.openxmlformats.org/officeDocument/2006/relationships/sharedStrings" Target="/xl/sharedStrings.xml" Id="Rf255228f04f34c8c" /><Relationship Type="http://schemas.openxmlformats.org/officeDocument/2006/relationships/worksheet" Target="/xl/worksheets/sheet1.xml" Id="R56abf83adcfd420c" /><Relationship Type="http://schemas.openxmlformats.org/officeDocument/2006/relationships/worksheet" Target="/xl/worksheets/sheet2.xml" Id="R1e905f3d2c4d4777" /><Relationship Type="http://schemas.openxmlformats.org/officeDocument/2006/relationships/worksheet" Target="/xl/worksheets/sheet3.xml" Id="R147d0cc9736d4fcb" /><Relationship Type="http://schemas.openxmlformats.org/officeDocument/2006/relationships/worksheet" Target="/xl/worksheets/sheet4.xml" Id="R900420546a7f4fd3" /><Relationship Type="http://schemas.openxmlformats.org/officeDocument/2006/relationships/worksheet" Target="/xl/worksheets/sheet5.xml" Id="Re28c197a05cc431a" /><Relationship Type="http://schemas.openxmlformats.org/officeDocument/2006/relationships/worksheet" Target="/xl/worksheets/sheet6.xml" Id="R8cbf01b3d37f4203" /><Relationship Type="http://schemas.openxmlformats.org/officeDocument/2006/relationships/worksheet" Target="/xl/worksheets/sheet7.xml" Id="Rcd38a3bf36c5449c" /></Relationships>
</file>

<file path=xl/tables/table1.xml><?xml version="1.0" encoding="utf-8"?>
<x:table xmlns:x="http://schemas.openxmlformats.org/spreadsheetml/2006/main" id="1" name="T1" displayName="T1" ref="A4:H8" headerRowCount="1" totalsRowCount="0" totalsRowShown="0">
  <x:autoFilter ref="A4:H8"/>
  <x:tableColumns count="8">
    <x:tableColumn id="1" name="编号"/>
    <x:tableColumn id="2" name="平台/路线"/>
    <x:tableColumn id="3" name="已核实的基础"/>
    <x:tableColumn id="4" name="适合本目标的价值"/>
    <x:tableColumn id="5" name="当前缺口"/>
    <x:tableColumn id="6" name="进入采购的条件"/>
    <x:tableColumn id="7" name="本版决定"/>
    <x:tableColumn id="8" name="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" displayName="T2" ref="A4:G21" headerRowCount="1" totalsRowCount="0" totalsRowShown="0">
  <x:autoFilter ref="A4:G21"/>
  <x:tableColumns count="7">
    <x:tableColumn id="1" name="编号"/>
    <x:tableColumn id="2" name="功能"/>
    <x:tableColumn id="3" name="实现归属"/>
    <x:tableColumn id="4" name="目标行为"/>
    <x:tableColumn id="5" name="验收方法"/>
    <x:tableColumn id="6" name="当前限制"/>
    <x:tableColumn id="7" name="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" displayName="T3" ref="A4:J37" headerRowCount="1" totalsRowCount="0" totalsRowShown="0">
  <x:autoFilter ref="A4:J37"/>
  <x:tableColumns count="10">
    <x:tableColumn id="1" name="编号"/>
    <x:tableColumn id="2" name="功能块"/>
    <x:tableColumn id="3" name="候选料号/方案"/>
    <x:tableColumn id="4" name="数量"/>
    <x:tableColumn id="5" name="封装/结构"/>
    <x:tableColumn id="6" name="接口/资源"/>
    <x:tableColumn id="7" name="选型理由与分工"/>
    <x:tableColumn id="8" name="选型进度"/>
    <x:tableColumn id="9" name="采购/设计前要确认"/>
    <x:tableColumn id="10" name="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" displayName="T4" ref="A4:H12" headerRowCount="1" totalsRowCount="0" totalsRowShown="0">
  <x:autoFilter ref="A4:H12"/>
  <x:tableColumns count="8">
    <x:tableColumn id="1" name="编号"/>
    <x:tableColumn id="2" name="项目"/>
    <x:tableColumn id="3" name="数量"/>
    <x:tableColumn id="4" name="参考单价 USD"/>
    <x:tableColumn id="5" name="小计 USD"/>
    <x:tableColumn id="6" name="采购时点"/>
    <x:tableColumn id="7" name="约束/包含范围"/>
    <x:tableColumn id="8" name="来源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" displayName="T6" ref="A4:G12" headerRowCount="1" totalsRowCount="0" totalsRowShown="0">
  <x:autoFilter ref="A4:G12"/>
  <x:tableColumns count="7">
    <x:tableColumn id="1" name="编号"/>
    <x:tableColumn id="2" name="阶段"/>
    <x:tableColumn id="3" name="开始条件/时间估计"/>
    <x:tableColumn id="4" name="产出"/>
    <x:tableColumn id="5" name="主要工作"/>
    <x:tableColumn id="6" name="完成标准"/>
    <x:tableColumn id="7" name="失败后的处理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" displayName="T7" ref="A4:E35" headerRowCount="1" totalsRowCount="0" totalsRowShown="0">
  <x:autoFilter ref="A4:E35"/>
  <x:tableColumns count="5">
    <x:tableColumn id="1" name="编号"/>
    <x:tableColumn id="2" name="资料"/>
    <x:tableColumn id="3" name="URL"/>
    <x:tableColumn id="4" name="支持的内容与限制"/>
    <x:tableColumn id="5" name="核查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498658add047c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31f7ddd06a846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ef353216e104b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e5b48c8750947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1ffc8fb473547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fb8adbfaf547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24.3799991607666" hidden="0" customWidth="1"/>
    <x:col min="3" max="3" width="35.630001068115234" hidden="0" customWidth="1"/>
    <x:col min="4" max="4" width="30" hidden="0" customWidth="1"/>
    <x:col min="5" max="5" width="35.630001068115234" hidden="0" customWidth="1"/>
    <x:col min="6" max="6" width="35" hidden="0" customWidth="1"/>
    <x:col min="7" max="7" width="24.3799991607666" hidden="0" customWidth="1"/>
    <x:col min="8" max="8" width="11.880000114440918" hidden="0" customWidth="1"/>
  </x:cols>
  <x:sheetData>
    <x:row r="1" ht="29" customHeight="1">
      <x:c r="A1" s="4" t="str">
        <x:v>方案比较</x:v>
      </x:c>
      <x:c r="B1" s="2"/>
      <x:c r="C1" s="2"/>
      <x:c r="D1" s="2"/>
      <x:c r="E1" s="2"/>
      <x:c r="F1" s="2"/>
      <x:c r="G1" s="2"/>
      <x:c r="H1" s="2"/>
    </x:row>
    <x:row r="2" ht="22" customHeight="1">
      <x:c r="A2" s="6" t="str">
        <x:v>v0.3  ·  2026-09-11  ·  完整功能目标：先验证应用接入，再冻结芯片</x:v>
      </x:c>
      <x:c r="B2" s="5"/>
      <x:c r="C2" s="5"/>
      <x:c r="D2" s="5"/>
      <x:c r="E2" s="5"/>
      <x:c r="F2" s="5"/>
      <x:c r="G2" s="5"/>
      <x:c r="H2" s="5"/>
    </x:row>
    <x:row r="3">
      <x:c r="A3" s="2"/>
      <x:c r="B3" s="2"/>
      <x:c r="C3" s="2"/>
      <x:c r="D3" s="2"/>
      <x:c r="E3" s="2"/>
      <x:c r="F3" s="2"/>
      <x:c r="G3" s="2"/>
      <x:c r="H3" s="2"/>
    </x:row>
    <x:row r="4" ht="32" customHeight="1">
      <x:c r="A4" s="10" t="str">
        <x:v>编号</x:v>
      </x:c>
      <x:c r="B4" s="11" t="str">
        <x:v>平台/路线</x:v>
      </x:c>
      <x:c r="C4" s="11" t="str">
        <x:v>已核实的基础</x:v>
      </x:c>
      <x:c r="D4" s="11" t="str">
        <x:v>适合本目标的价值</x:v>
      </x:c>
      <x:c r="E4" s="11" t="str">
        <x:v>当前缺口</x:v>
      </x:c>
      <x:c r="F4" s="11" t="str">
        <x:v>进入采购的条件</x:v>
      </x:c>
      <x:c r="G4" s="11" t="str">
        <x:v>本版决定</x:v>
      </x:c>
      <x:c r="H4" s="12" t="str">
        <x:v>来源</x:v>
      </x:c>
    </x:row>
    <x:row r="5" ht="76.5" customHeight="1">
      <x:c r="A5" s="14" t="str">
        <x:v>A</x:v>
      </x:c>
      <x:c r="B5" s="14" t="str">
        <x:v>方案厂穿戴参考设计</x:v>
      </x:c>
      <x:c r="C5" s="14" t="str">
        <x:v>优先寻找已能演示官方微信和支付、可交付 BSP 的方案；芯片可为 W5 系列或展锐平台。</x:v>
      </x:c>
      <x:c r="D5" s="14" t="str">
        <x:v>最接近完整功能目标；自研主板、外壳和系统界面继续保留。</x:v>
      </x:c>
      <x:c r="E5" s="14" t="str">
        <x:v>当前尚未找到对本项目已承诺交付的方案厂或正式报价。</x:v>
      </x:c>
      <x:c r="F5" s="14" t="str">
        <x:v>必须交付适用自研设备的应用接入路径、源码范围、参考电路和可运行样机。</x:v>
      </x:c>
      <x:c r="G5" s="14" t="str">
        <x:v>优先落地方向；尚不能冻结采购</x:v>
      </x:c>
      <x:c r="H5" s="14" t="str">
        <x:v>S02/S04/S06</x:v>
      </x:c>
    </x:row>
    <x:row r="6" ht="60.75" customHeight="1">
      <x:c r="A6" s="16" t="str">
        <x:v>B</x:v>
      </x:c>
      <x:c r="B6" s="16" t="str">
        <x:v>TurboX W5+ / SW5100</x:v>
      </x:c>
      <x:c r="C6" s="16" t="str">
        <x:v>有公开开发套件；SW5100 + QCC5100，可开发 Android 与低功耗子系统。</x:v>
      </x:c>
      <x:c r="D6" s="16" t="str">
        <x:v>适合建立主系统、显示、音频、联网及休眠验证环境。</x:v>
      </x:c>
      <x:c r="E6" s="16" t="str">
        <x:v>官方应用接入未证明；公开套件软件文案版本较旧；关键资料有私有部分。</x:v>
      </x:c>
      <x:c r="F6" s="16" t="str">
        <x:v>确认实际 Android/BSP、64 位 ABI、源码/刷机权限及应用版本后再采购。</x:v>
      </x:c>
      <x:c r="G6" s="16" t="str">
        <x:v>首选具体工程候选</x:v>
      </x:c>
      <x:c r="H6" s="16" t="str">
        <x:v>S02/S03</x:v>
      </x:c>
    </x:row>
    <x:row r="7" ht="76.5" customHeight="1">
      <x:c r="A7" s="14" t="str">
        <x:v>C</x:v>
      </x:c>
      <x:c r="B7" s="14" t="str">
        <x:v>UNISOC W377E</x:v>
      </x:c>
      <x:c r="C7" s="14" t="str">
        <x:v>四核 A53 1.4 GHz、MIPI、LTE Cat.4，面向穿戴。</x:v>
      </x:c>
      <x:c r="D7" s="14" t="str">
        <x:v>可询价的国内穿戴平台备选。</x:v>
      </x:c>
      <x:c r="E7" s="14" t="str">
        <x:v>没有核实小批量套件和资料交付；公开 Android 文案不能作为当前应用兼容证明。</x:v>
      </x:c>
      <x:c r="F7" s="14" t="str">
        <x:v>由方案厂交付当前可用 BSP 与微信/支付演示；与 W5 做同一负载功耗比较。</x:v>
      </x:c>
      <x:c r="G7" s="14" t="str">
        <x:v>并行询价备选；不因品牌推断低价</x:v>
      </x:c>
      <x:c r="H7" s="14" t="str">
        <x:v>S04</x:v>
      </x:c>
    </x:row>
    <x:row r="8" ht="76.5" customHeight="1">
      <x:c r="A8" s="16" t="str">
        <x:v>D</x:v>
      </x:c>
      <x:c r="B8" s="16" t="str">
        <x:v>SF32LB58x 单主控</x:v>
      </x:c>
      <x:c r="C8" s="16" t="str">
        <x:v>RT-Thread + 图形框架，支持自研应用、传感器和蓝牙。</x:v>
      </x:c>
      <x:c r="D8" s="16" t="str">
        <x:v>UI、表冠、触觉与健康数据原型仍有价值。</x:v>
      </x:c>
      <x:c r="E8" s="16" t="str">
        <x:v>没有已核实的官方微信完整应用及支付接入组合；不能直接运行 Android/watchOS 安装包。</x:v>
      </x:c>
      <x:c r="F8" s="16" t="str">
        <x:v>仅当方案厂提供符合全部验收项的定制接入证据时重新考虑。</x:v>
      </x:c>
      <x:c r="G8" s="16" t="str">
        <x:v>退出当前完整整机主线</x:v>
      </x:c>
      <x:c r="H8" s="16" t="str">
        <x:v>S05</x:v>
      </x:c>
    </x:row>
  </x:sheetData>
  <x:pageMargins left="0.7" right="0.7" top="0.75" bottom="0.75" header="0.3" footer="0.3"/>
  <x:tableParts count="1">
    <x:tablePart xmlns:r="http://schemas.openxmlformats.org/officeDocument/2006/relationships" r:id="Rc0498658add047c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.880000114440918" hidden="0" customWidth="1"/>
    <x:col min="2" max="2" width="18.1299991607666" hidden="0" customWidth="1"/>
    <x:col min="3" max="3" width="18.75" hidden="0" customWidth="1"/>
    <x:col min="4" max="4" width="37.5" hidden="0" customWidth="1"/>
    <x:col min="5" max="5" width="41.25" hidden="0" customWidth="1"/>
    <x:col min="6" max="6" width="40" hidden="0" customWidth="1"/>
    <x:col min="7" max="7" width="13.130000114440918" hidden="0" customWidth="1"/>
  </x:cols>
  <x:sheetData>
    <x:row r="1" ht="29" customHeight="1">
      <x:c r="A1" s="4" t="str">
        <x:v>功能验收</x:v>
      </x:c>
      <x:c r="B1" s="2"/>
      <x:c r="C1" s="2"/>
      <x:c r="D1" s="2"/>
      <x:c r="E1" s="2"/>
      <x:c r="F1" s="2"/>
      <x:c r="G1" s="2"/>
    </x:row>
    <x:row r="2" ht="22" customHeight="1">
      <x:c r="A2" s="6" t="str">
        <x:v>自定验收目标；尚未进行实机测试。第三方应用在计划交付系统上验证。</x:v>
      </x:c>
      <x:c r="B2" s="5"/>
      <x:c r="C2" s="5"/>
      <x:c r="D2" s="5"/>
      <x:c r="E2" s="5"/>
      <x:c r="F2" s="5"/>
      <x:c r="G2" s="5"/>
    </x:row>
    <x:row r="3">
      <x:c r="A3" s="2"/>
      <x:c r="B3" s="2"/>
      <x:c r="C3" s="2"/>
      <x:c r="D3" s="2"/>
      <x:c r="E3" s="2"/>
      <x:c r="F3" s="2"/>
      <x:c r="G3" s="2"/>
    </x:row>
    <x:row r="4" ht="32" customHeight="1">
      <x:c r="A4" s="10" t="str">
        <x:v>编号</x:v>
      </x:c>
      <x:c r="B4" s="11" t="str">
        <x:v>功能</x:v>
      </x:c>
      <x:c r="C4" s="11" t="str">
        <x:v>实现归属</x:v>
      </x:c>
      <x:c r="D4" s="11" t="str">
        <x:v>目标行为</x:v>
      </x:c>
      <x:c r="E4" s="11" t="str">
        <x:v>验收方法</x:v>
      </x:c>
      <x:c r="F4" s="11" t="str">
        <x:v>当前限制</x:v>
      </x:c>
      <x:c r="G4" s="12" t="str">
        <x:v>来源</x:v>
      </x:c>
    </x:row>
    <x:row r="5" ht="60.75" customHeight="1">
      <x:c r="A5" s="14" t="str">
        <x:v>F01</x:v>
      </x:c>
      <x:c r="B5" s="14" t="str">
        <x:v>界面与交互</x:v>
      </x:c>
      <x:c r="C5" s="14" t="str">
        <x:v>本机自研</x:v>
      </x:c>
      <x:c r="D5" s="14" t="str">
        <x:v>蜂窝图标、列表、表盘、通知、控制中心、表冠缩放/滚动。</x:v>
      </x:c>
      <x:c r="E5" s="14" t="str">
        <x:v>目标 60 fps；连续滚动 95% 帧≤16.7 ms；触控到画面 P95≤100 ms。</x:v>
      </x:c>
      <x:c r="F5" s="14" t="str">
        <x:v>需在最终屏幕/功耗状态测量；这些是自定目标，不是 Apple 实测。</x:v>
      </x:c>
      <x:c r="G5" s="14" t="str">
        <x:v>S01/S02</x:v>
      </x:c>
    </x:row>
    <x:row r="6" ht="60.75" customHeight="1">
      <x:c r="A6" s="16" t="str">
        <x:v>F02</x:v>
      </x:c>
      <x:c r="B6" s="16" t="str">
        <x:v>AOD 与抬腕</x:v>
      </x:c>
      <x:c r="C6" s="16" t="str">
        <x:v>本机自研 + 平台框架</x:v>
      </x:c>
      <x:c r="D6" s="16" t="str">
        <x:v>息屏/常亮/抬腕转换；主处理器休眠时保留时钟与采样。</x:v>
      </x:c>
      <x:c r="E6" s="16" t="str">
        <x:v>循环切换无白屏/花屏；测试显示归属和唤醒时延，并记录平均功耗。</x:v>
      </x:c>
      <x:c r="F6" s="16" t="str">
        <x:v>双接口屏与 BSP 协作是关键；仅 MIPI 点亮不足以验收。</x:v>
      </x:c>
      <x:c r="G6" s="16" t="str">
        <x:v>S02/S12</x:v>
      </x:c>
    </x:row>
    <x:row r="7" ht="60.75" customHeight="1">
      <x:c r="A7" s="14" t="str">
        <x:v>F03</x:v>
      </x:c>
      <x:c r="B7" s="14" t="str">
        <x:v>官方微信</x:v>
      </x:c>
      <x:c r="C7" s="14" t="str">
        <x:v>外部应用接入</x:v>
      </x:c>
      <x:c r="D7" s="14" t="str">
        <x:v>登录、文字/图片显示、语音收发、快捷回复；网络重连和后台收信。</x:v>
      </x:c>
      <x:c r="E7" s="14" t="str">
        <x:v>在自研设备身份及计划交付系统上演示；屏幕关闭后持续接收，重启/升级后仍可用。</x:v>
      </x:c>
      <x:c r="F7" s="14" t="str">
        <x:v>未核实；不得把通知转发、手机 APK 拉伸显示或改设备身份当成已通过。</x:v>
      </x:c>
      <x:c r="G7" s="14" t="str">
        <x:v>S06/S11</x:v>
      </x:c>
    </x:row>
    <x:row r="8" ht="60.75" customHeight="1">
      <x:c r="A8" s="16" t="str">
        <x:v>F04</x:v>
      </x:c>
      <x:c r="B8" s="16" t="str">
        <x:v>支付宝与微信付款</x:v>
      </x:c>
      <x:c r="C8" s="16" t="str">
        <x:v>外部支付接入</x:v>
      </x:c>
      <x:c r="D8" s="16" t="str">
        <x:v>账号绑定、付款码更新、支付结果与解绑；明确是否支持离线使用。</x:v>
      </x:c>
      <x:c r="E8" s="16" t="str">
        <x:v>取得适用本设备的接入方式，使用本人账号由用户完成实际小额验证。</x:v>
      </x:c>
      <x:c r="F8" s="16" t="str">
        <x:v>未核实；商户收款 API、二维码图片和通用 NFC 都不等同消费者腕上付款。</x:v>
      </x:c>
      <x:c r="G8" s="16" t="str">
        <x:v>S10/S11/S31</x:v>
      </x:c>
    </x:row>
    <x:row r="9" ht="60.75" customHeight="1">
      <x:c r="A9" s="14" t="str">
        <x:v>F05</x:v>
      </x:c>
      <x:c r="B9" s="14" t="str">
        <x:v>应用安装与更新</x:v>
      </x:c>
      <x:c r="C9" s="14" t="str">
        <x:v>系统 + 应用服务</x:v>
      </x:c>
      <x:c r="D9" s="14" t="str">
        <x:v>官方来源的兼容应用安装、启动、卸载和更新。</x:v>
      </x:c>
      <x:c r="E9" s="14" t="str">
        <x:v>固定包版本/ABI/系统依赖，更新后复测；明确可获得的应用目录。</x:v>
      </x:c>
      <x:c r="F9" s="14" t="str">
        <x:v>AOSP 不含 GMS；Wear OS/应用商店服务不能因买芯片自动取得。</x:v>
      </x:c>
      <x:c r="G9" s="14" t="str">
        <x:v>S08</x:v>
      </x:c>
    </x:row>
    <x:row r="10" ht="60.75" customHeight="1">
      <x:c r="A10" s="16" t="str">
        <x:v>F06</x:v>
      </x:c>
      <x:c r="B10" s="16" t="str">
        <x:v>联网与同步</x:v>
      </x:c>
      <x:c r="C10" s="16" t="str">
        <x:v>通信硬件 + 软件</x:v>
      </x:c>
      <x:c r="D10" s="16" t="str">
        <x:v>Wi-Fi、蓝牙、天气/时间同步、云端上传；独立联网保留 LTE 目标。</x:v>
      </x:c>
      <x:c r="E10" s="16" t="str">
        <x:v>无手机时分别验证 Wi-Fi/LTE；弱网重连、时间证书、后台待机。</x:v>
      </x:c>
      <x:c r="F10" s="16" t="str">
        <x:v>蓝牙连接本身不等同互联网连接。</x:v>
      </x:c>
      <x:c r="G10" s="16" t="str">
        <x:v>S02/S03</x:v>
      </x:c>
    </x:row>
    <x:row r="11" ht="60.75" customHeight="1">
      <x:c r="A11" s="14" t="str">
        <x:v>F07</x:v>
      </x:c>
      <x:c r="B11" s="14" t="str">
        <x:v>蜂窝通话与 eSIM</x:v>
      </x:c>
      <x:c r="C11" s="14" t="str">
        <x:v>平台 + 运营商</x:v>
      </x:c>
      <x:c r="D11" s="14" t="str">
        <x:v>VoLTE、短信和独立号码；一号双终端另行验证。</x:v>
      </x:c>
      <x:c r="E11" s="14" t="str">
        <x:v>先在台架用适用频段 Nano-SIM；eSIM 须用实际 EID/IMEI 确认运营商可开通。</x:v>
      </x:c>
      <x:c r="F11" s="14" t="str">
        <x:v>焊接 eUICC 不能保证运营商接受自研设备或开通一号双终端。</x:v>
      </x:c>
      <x:c r="G11" s="14" t="str">
        <x:v>S03/S06</x:v>
      </x:c>
    </x:row>
    <x:row r="12" ht="76.5" customHeight="1">
      <x:c r="A12" s="16" t="str">
        <x:v>F08</x:v>
      </x:c>
      <x:c r="B12" s="16" t="str">
        <x:v>手机配对</x:v>
      </x:c>
      <x:c r="C12" s="16" t="str">
        <x:v>自研伴随 App</x:v>
      </x:c>
      <x:c r="D12" s="16" t="str">
        <x:v>iPhone/Android 的设备绑定、通知、设置、健康记录同步和 OTA。</x:v>
      </x:c>
      <x:c r="E12" s="16" t="str">
        <x:v>两类手机分别验收；iOS 授权/后台限制必须实测。</x:v>
      </x:c>
      <x:c r="F12" s="16" t="str">
        <x:v>不能借 Android 的验证结果推定 iPhone 同等可用；不依赖 Apple Watch App 原生配对。</x:v>
      </x:c>
      <x:c r="G12" s="16" t="str">
        <x:v>S27/S28</x:v>
      </x:c>
    </x:row>
    <x:row r="13" ht="60.75" customHeight="1">
      <x:c r="A13" s="14" t="str">
        <x:v>F09</x:v>
      </x:c>
      <x:c r="B13" s="14" t="str">
        <x:v>心率与血氧</x:v>
      </x:c>
      <x:c r="C13" s="14" t="str">
        <x:v>传感器 + 算法 + 光学</x:v>
      </x:c>
      <x:c r="D13" s="14" t="str">
        <x:v>真实 PPG，HR/SpO2 数值、信号质量、佩戴状态。</x:v>
      </x:c>
      <x:c r="E13" s="14" t="str">
        <x:v>开发期同步留原始数据；静止/运动/不同松紧分别测试，无效数据不显示成正常值。</x:v>
      </x:c>
      <x:c r="F13" s="14" t="str">
        <x:v>血氧先验证静止测量；参考血氧仪对照只作工程一致性检查，不能证明全量程临床精度。</x:v>
      </x:c>
      <x:c r="G13" s="14" t="str">
        <x:v>S13/S14/S16</x:v>
      </x:c>
    </x:row>
    <x:row r="14" ht="60.75" customHeight="1">
      <x:c r="A14" s="16" t="str">
        <x:v>F10</x:v>
      </x:c>
      <x:c r="B14" s="16" t="str">
        <x:v>运动与睡眠</x:v>
      </x:c>
      <x:c r="C14" s="16" t="str">
        <x:v>本机算法</x:v>
      </x:c>
      <x:c r="D14" s="16" t="str">
        <x:v>IMU 计步、抬腕、GNSS 轨迹、活动时长；睡眠记录/分期单独评估。</x:v>
      </x:c>
      <x:c r="E14" s="16" t="str">
        <x:v>场景数据集与对照记录；区分原始传感器可用与算法有效。</x:v>
      </x:c>
      <x:c r="F14" s="16" t="str">
        <x:v>不能因加入 IMU/PPG 就承诺 Apple 级睡眠、跌倒或疾病预警。</x:v>
      </x:c>
      <x:c r="G14" s="16" t="str">
        <x:v>S17/S26</x:v>
      </x:c>
    </x:row>
    <x:row r="15" ht="60.75" customHeight="1">
      <x:c r="A15" s="14" t="str">
        <x:v>F11</x:v>
      </x:c>
      <x:c r="B15" s="14" t="str">
        <x:v>音频与触觉</x:v>
      </x:c>
      <x:c r="C15" s="14" t="str">
        <x:v>本机硬件 + 平台</x:v>
      </x:c>
      <x:c r="D15" s="14" t="str">
        <x:v>麦克风、扬声器、蓝牙耳机、语音消息、LRA 表冠反馈。</x:v>
      </x:c>
      <x:c r="E15" s="14" t="str">
        <x:v>验证音频路由、回声、录音权限及各模式切换；触觉做封壳实测。</x:v>
      </x:c>
      <x:c r="F15" s="14" t="str">
        <x:v>驱动芯片能运行不代表达到 Taptic Engine 的主观触感。</x:v>
      </x:c>
      <x:c r="G15" s="14" t="str">
        <x:v>S03/S21</x:v>
      </x:c>
    </x:row>
    <x:row r="16" ht="60.75" customHeight="1">
      <x:c r="A16" s="16" t="str">
        <x:v>F12</x:v>
      </x:c>
      <x:c r="B16" s="16" t="str">
        <x:v>导航与环境</x:v>
      </x:c>
      <x:c r="C16" s="16" t="str">
        <x:v>本机硬件 + 服务</x:v>
      </x:c>
      <x:c r="D16" s="16" t="str">
        <x:v>GNSS、指南针、气压高度、自动亮度；地图服务独立接入。</x:v>
      </x:c>
      <x:c r="E16" s="16" t="str">
        <x:v>佩戴状态测定位/天线，封壳后校准磁力计，验证地图来源与离线策略。</x:v>
      </x:c>
      <x:c r="F16" s="16" t="str">
        <x:v>不默认已有地图或语音服务授权。</x:v>
      </x:c>
      <x:c r="G16" s="16" t="str">
        <x:v>S02/S26/S29/S30</x:v>
      </x:c>
    </x:row>
    <x:row r="17" ht="60.75" customHeight="1">
      <x:c r="A17" s="14" t="str">
        <x:v>F13</x:v>
      </x:c>
      <x:c r="B17" s="14" t="str">
        <x:v>ECG 与腕温</x:v>
      </x:c>
      <x:c r="C17" s="14" t="str">
        <x:v>后续集成</x:v>
      </x:c>
      <x:c r="D17" s="14" t="str">
        <x:v>ECG 电极/AFE、腕温传感器、趋势记录；结构阶段预留。</x:v>
      </x:c>
      <x:c r="E17" s="14" t="str">
        <x:v>ECG 先用模拟器和隔离测试链验证；腕温排查主板发热与环境变化。</x:v>
      </x:c>
      <x:c r="F17" s="14" t="str">
        <x:v>保留在最终功能路线；不能直接宣称房颤诊断、核心体温或 Apple 算法等效。</x:v>
      </x:c>
      <x:c r="G17" s="14" t="str">
        <x:v>S24/S25</x:v>
      </x:c>
    </x:row>
    <x:row r="18" ht="60.75" customHeight="1">
      <x:c r="A18" s="16" t="str">
        <x:v>F14</x:v>
      </x:c>
      <x:c r="B18" s="16" t="str">
        <x:v>NFC/公交/门禁</x:v>
      </x:c>
      <x:c r="C18" s="16" t="str">
        <x:v>专项接入</x:v>
      </x:c>
      <x:c r="D18" s="16" t="str">
        <x:v>按实际卡服务与安全架构选择控制器/SE/线圈。</x:v>
      </x:c>
      <x:c r="E18" s="16" t="str">
        <x:v>逐一验证卡发行/绑定/扣费/解绑；区分普通 NFC 标签读写。</x:v>
      </x:c>
      <x:c r="F18" s="16" t="str">
        <x:v>不把 NFC 器件参数当成支付和公交开卡资格。</x:v>
      </x:c>
      <x:c r="G18" s="16" t="str">
        <x:v>S31</x:v>
      </x:c>
    </x:row>
    <x:row r="19" ht="60.75" customHeight="1">
      <x:c r="A19" s="14" t="str">
        <x:v>F15</x:v>
      </x:c>
      <x:c r="B19" s="14" t="str">
        <x:v>OTA 与恢复</x:v>
      </x:c>
      <x:c r="C19" s="14" t="str">
        <x:v>本机系统</x:v>
      </x:c>
      <x:c r="D19" s="14" t="str">
        <x:v>主系统、协处理器、健康固件和资源包的版本配套、回滚与恢复。</x:v>
      </x:c>
      <x:c r="E19" s="14" t="str">
        <x:v>模拟升级掉电和版本不一致；始终保留可恢复下载路径。</x:v>
      </x:c>
      <x:c r="F19" s="14" t="str">
        <x:v>第三方应用升级后要做回归测试；各芯片固件不能独立随意升级。</x:v>
      </x:c>
      <x:c r="G19" s="14" t="str">
        <x:v>S02/S14</x:v>
      </x:c>
    </x:row>
    <x:row r="20" ht="60.75" customHeight="1">
      <x:c r="A20" s="16" t="str">
        <x:v>F16</x:v>
      </x:c>
      <x:c r="B20" s="16" t="str">
        <x:v>外壳与续航</x:v>
      </x:c>
      <x:c r="C20" s="16" t="str">
        <x:v>自研结构 + 实测</x:v>
      </x:c>
      <x:c r="D20" s="16" t="str">
        <x:v>约 46 mm 外观尺度，全部新设计；电池、天线、声孔、光学窗同步布局。</x:v>
      </x:c>
      <x:c r="E20" s="16" t="str">
        <x:v>先 3D 体积样件，再带电封壳；正常使用 24 h 为第一轮设计目标。</x:v>
      </x:c>
      <x:c r="F20" s="16" t="str">
        <x:v>厚度、电池容量、防水等级和最终续航尚未验证；不沿用 Apple 参数作承诺。</x:v>
      </x:c>
      <x:c r="G20" s="16" t="str">
        <x:v>S01</x:v>
      </x:c>
    </x:row>
    <x:row r="21" ht="60.75" customHeight="1">
      <x:c r="A21" s="14" t="str">
        <x:v>F17</x:v>
      </x:c>
      <x:c r="B21" s="14" t="str">
        <x:v>Apple 专有生态</x:v>
      </x:c>
      <x:c r="C21" s="14" t="str">
        <x:v>当前无可复现路径</x:v>
      </x:c>
      <x:c r="D21" s="14" t="str">
        <x:v>watchOS、Apple Watch App 原生配对、Apple Pay、Siri/专有服务。</x:v>
      </x:c>
      <x:c r="E21" s="14" t="str">
        <x:v>不计入本方案可交付承诺；替代服务按各自能力验收。</x:v>
      </x:c>
      <x:c r="F21" s="14" t="str">
        <x:v>保持尽量接近的目标，同时明确不能实现原版软件生态的一比一兼容。</x:v>
      </x:c>
      <x:c r="G21" s="14" t="str">
        <x:v>S09</x:v>
      </x:c>
    </x:row>
  </x:sheetData>
  <x:pageMargins left="0.7" right="0.7" top="0.75" bottom="0.75" header="0.3" footer="0.3"/>
  <x:tableParts count="1">
    <x:tablePart xmlns:r="http://schemas.openxmlformats.org/officeDocument/2006/relationships" r:id="Re31f7ddd06a8463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.880000114440918" hidden="0" customWidth="1"/>
    <x:col min="2" max="2" width="17.5" hidden="0" customWidth="1"/>
    <x:col min="3" max="3" width="36.25" hidden="0" customWidth="1"/>
    <x:col min="4" max="4" width="6.880000114440918" hidden="0" customWidth="1"/>
    <x:col min="5" max="5" width="30.6299991607666" hidden="0" customWidth="1"/>
    <x:col min="6" max="6" width="31.8799991607666" hidden="0" customWidth="1"/>
    <x:col min="7" max="7" width="35.630001068115234" hidden="0" customWidth="1"/>
    <x:col min="8" max="8" width="18.75" hidden="0" customWidth="1"/>
    <x:col min="9" max="9" width="38.75" hidden="0" customWidth="1"/>
    <x:col min="10" max="10" width="13.75" hidden="0" customWidth="1"/>
  </x:cols>
  <x:sheetData>
    <x:row r="1" ht="29" customHeight="1">
      <x:c r="A1" s="4" t="str">
        <x:v>整机BOM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6" t="str">
        <x:v>选型级 BOM；数量以一台整机为基准，组项须展开。条件装配与后续项勿一次全买。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32" customHeight="1">
      <x:c r="A4" s="10" t="str">
        <x:v>编号</x:v>
      </x:c>
      <x:c r="B4" s="11" t="str">
        <x:v>功能块</x:v>
      </x:c>
      <x:c r="C4" s="11" t="str">
        <x:v>候选料号/方案</x:v>
      </x:c>
      <x:c r="D4" s="11" t="str">
        <x:v>数量</x:v>
      </x:c>
      <x:c r="E4" s="11" t="str">
        <x:v>封装/结构</x:v>
      </x:c>
      <x:c r="F4" s="11" t="str">
        <x:v>接口/资源</x:v>
      </x:c>
      <x:c r="G4" s="11" t="str">
        <x:v>选型理由与分工</x:v>
      </x:c>
      <x:c r="H4" s="11" t="str">
        <x:v>选型进度</x:v>
      </x:c>
      <x:c r="I4" s="11" t="str">
        <x:v>采购/设计前要确认</x:v>
      </x:c>
      <x:c r="J4" s="12" t="str">
        <x:v>来源</x:v>
      </x:c>
    </x:row>
    <x:row r="5" ht="60.75" customHeight="1">
      <x:c r="A5" s="14" t="str">
        <x:v>B01</x:v>
      </x:c>
      <x:c r="B5" s="14" t="str">
        <x:v>应用处理器</x:v>
      </x:c>
      <x:c r="C5" s="14" t="str">
        <x:v>SW5100（W5 Gen 1）</x:v>
      </x:c>
      <x:c r="D5" s="19" t="n">
        <x:v>1</x:v>
      </x:c>
      <x:c r="E5" s="14" t="str">
        <x:v>BGA；封装/球图以交付资料为准</x:v>
      </x:c>
      <x:c r="F5" s="14" t="str">
        <x:v>4×A53，最高 1.7 GHz；DSI/内存/音频等</x:v>
      </x:c>
      <x:c r="G5" s="14" t="str">
        <x:v>主系统、UI、官方应用、LTE；优先从可交付的参考设计起步。</x:v>
      </x:c>
      <x:c r="H5" s="14" t="str">
        <x:v>参考架构候选</x:v>
      </x:c>
      <x:c r="I5" s="14" t="str">
        <x:v>确认 BSP、应用和芯片供货；不是裸芯片立即下单项。</x:v>
      </x:c>
      <x:c r="J5" s="14" t="str">
        <x:v>S02/S03</x:v>
      </x:c>
    </x:row>
    <x:row r="6" ht="60.75" customHeight="1">
      <x:c r="A6" s="16" t="str">
        <x:v>B02</x:v>
      </x:c>
      <x:c r="B6" s="16" t="str">
        <x:v>低功耗协处理器</x:v>
      </x:c>
      <x:c r="C6" s="16" t="str">
        <x:v>QCC5100（W5+ 配套）</x:v>
      </x:c>
      <x:c r="D6" s="20" t="n">
        <x:v>1</x:v>
      </x:c>
      <x:c r="E6" s="16" t="str">
        <x:v>封装待参考设计</x:v>
      </x:c>
      <x:c r="F6" s="16" t="str">
        <x:v>最高 250 MHz；FreeRTOS；显示/传感器接口</x:v>
      </x:c>
      <x:c r="G6" s="16" t="str">
        <x:v>沿用平台休眠与双系统协作；不再叠加 SF58。</x:v>
      </x:c>
      <x:c r="H6" s="16" t="str">
        <x:v>随参考设计</x:v>
      </x:c>
      <x:c r="I6" s="16" t="str">
        <x:v>确认 SDK、显示归属切换和健康数据桥接；不要作为普通蓝牙音频芯片购买。</x:v>
      </x:c>
      <x:c r="J6" s="16" t="str">
        <x:v>S02/S03</x:v>
      </x:c>
    </x:row>
    <x:row r="7" ht="60.75" customHeight="1">
      <x:c r="A7" s="14" t="str">
        <x:v>B03</x:v>
      </x:c>
      <x:c r="B7" s="14" t="str">
        <x:v>主电源管理</x:v>
      </x:c>
      <x:c r="C7" s="14" t="str">
        <x:v>PMW5100 + 平台参考电源器件</x:v>
      </x:c>
      <x:c r="D7" s="19" t="n">
        <x:v>1</x:v>
      </x:c>
      <x:c r="E7" s="14" t="str">
        <x:v>以供应商原理图和布局为准</x:v>
      </x:c>
      <x:c r="F7" s="14" t="str">
        <x:v>多路电源、充电、电量/温度管理</x:v>
      </x:c>
      <x:c r="G7" s="14" t="str">
        <x:v>整体复制经验证的上电时序和峰值供电设计。</x:v>
      </x:c>
      <x:c r="H7" s="14" t="str">
        <x:v>随参考设计</x:v>
      </x:c>
      <x:c r="I7" s="14" t="str">
        <x:v>旧 MCU 方案的 BQ25180/TPS63031 不能直接替代整个电源树。</x:v>
      </x:c>
      <x:c r="J7" s="14" t="str">
        <x:v>S02</x:v>
      </x:c>
    </x:row>
    <x:row r="8" ht="60.75" customHeight="1">
      <x:c r="A8" s="16" t="str">
        <x:v>B04</x:v>
      </x:c>
      <x:c r="B8" s="16" t="str">
        <x:v>主内存</x:v>
      </x:c>
      <x:c r="C8" s="16" t="str">
        <x:v>2 GB LPDDR4</x:v>
      </x:c>
      <x:c r="D8" s="20" t="n">
        <x:v>1</x:v>
      </x:c>
      <x:c r="E8" s="16" t="str">
        <x:v>颗粒/封装待平台 AVL</x:v>
      </x:c>
      <x:c r="F8" s="16" t="str">
        <x:v>内存总线及时序由 BSP 决定</x:v>
      </x:c>
      <x:c r="G8" s="16" t="str">
        <x:v>与内存训练和 PCB 约束一并冻结；2 GB 为首轮配置。</x:v>
      </x:c>
      <x:c r="H8" s="16" t="str">
        <x:v>容量选定；MPN 未定</x:v>
      </x:c>
      <x:c r="I8" s="16" t="str">
        <x:v>取得合格物料表和 DDR 参数后选具体 MPN；不按通用品牌随意替换。</x:v>
      </x:c>
      <x:c r="J8" s="16" t="str">
        <x:v>S02/S03</x:v>
      </x:c>
    </x:row>
    <x:row r="9" ht="60.75" customHeight="1">
      <x:c r="A9" s="14" t="str">
        <x:v>B05</x:v>
      </x:c>
      <x:c r="B9" s="14" t="str">
        <x:v>系统存储</x:v>
      </x:c>
      <x:c r="C9" s="14" t="str">
        <x:v>32 GB eMMC 5.1</x:v>
      </x:c>
      <x:c r="D9" s="19" t="n">
        <x:v>1</x:v>
      </x:c>
      <x:c r="E9" s="14" t="str">
        <x:v>颗粒/封装待平台 AVL</x:v>
      </x:c>
      <x:c r="F9" s="14" t="str">
        <x:v>eMMC；分区由 BSP 决定</x:v>
      </x:c>
      <x:c r="G9" s="14" t="str">
        <x:v>系统、应用、用户数据与升级空间。</x:v>
      </x:c>
      <x:c r="H9" s="14" t="str">
        <x:v>容量选定；MPN 未定</x:v>
      </x:c>
      <x:c r="I9" s="14" t="str">
        <x:v>确认启动配置、寿命和分区；不要误买 32 Gb（4 GB）。</x:v>
      </x:c>
      <x:c r="J9" s="14" t="str">
        <x:v>S03</x:v>
      </x:c>
    </x:row>
    <x:row r="10" ht="60.75" customHeight="1">
      <x:c r="A10" s="16" t="str">
        <x:v>B06</x:v>
      </x:c>
      <x:c r="B10" s="16" t="str">
        <x:v>协处理器存储</x:v>
      </x:c>
      <x:c r="C10" s="16" t="str">
        <x:v>32 MB Flash + 8 MB PSRAM</x:v>
      </x:c>
      <x:c r="D10" s="20" t="n">
        <x:v>1</x:v>
      </x:c>
      <x:c r="E10" s="16" t="str">
        <x:v>按 W5+ 套件配置作参考</x:v>
      </x:c>
      <x:c r="F10" s="16" t="str">
        <x:v>容量/总线按 QCC 子系统 BSP</x:v>
      </x:c>
      <x:c r="G10" s="16" t="str">
        <x:v>作为一组计数；颗粒数和 MPN 由参考设计展开。</x:v>
      </x:c>
      <x:c r="H10" s="16" t="str">
        <x:v>随参考设计</x:v>
      </x:c>
      <x:c r="I10" s="16" t="str">
        <x:v>不能与主系统 2 GB/32 GB 混淆；不重复计算合封内存。</x:v>
      </x:c>
      <x:c r="J10" s="16" t="str">
        <x:v>S03</x:v>
      </x:c>
    </x:row>
    <x:row r="11" ht="60.75" customHeight="1">
      <x:c r="A11" s="14" t="str">
        <x:v>B07</x:v>
      </x:c>
      <x:c r="B11" s="14" t="str">
        <x:v>时钟与射频配套</x:v>
      </x:c>
      <x:c r="C11" s="14" t="str">
        <x:v>平台 TCXO/RTC/RF/WCN 配套</x:v>
      </x:c>
      <x:c r="D11" s="19" t="n">
        <x:v>1</x:v>
      </x:c>
      <x:c r="E11" s="14" t="str">
        <x:v>按供应商推荐布局</x:v>
      </x:c>
      <x:c r="F11" s="14" t="str">
        <x:v>频率、负载、供电、射频口以参考资料为准</x:v>
      </x:c>
      <x:c r="G11" s="14" t="str">
        <x:v>包括晶体/滤波/PA 等实际所需器件；此处为一组。</x:v>
      </x:c>
      <x:c r="H11" s="14" t="str">
        <x:v>MPN 未定</x:v>
      </x:c>
      <x:c r="I11" s="14" t="str">
        <x:v>不沿用 SF58 的 48 MHz 晶体假设；取得 BOM 后逐项展开。</x:v>
      </x:c>
      <x:c r="J11" s="14" t="str">
        <x:v>S02</x:v>
      </x:c>
    </x:row>
    <x:row r="12" ht="76.5" customHeight="1">
      <x:c r="A12" s="16" t="str">
        <x:v>B08</x:v>
      </x:c>
      <x:c r="B12" s="16" t="str">
        <x:v>显示与触摸</x:v>
      </x:c>
      <x:c r="C12" s="16" t="str">
        <x:v>优先平台验证的方形 AMOLED；ET020AM03-HT 为备选</x:v>
      </x:c>
      <x:c r="D12" s="20" t="n">
        <x:v>1</x:v>
      </x:c>
      <x:c r="E12" s="16" t="str">
        <x:v>候选面板标称 33.07×41.05×0.8 mm；总成另核对</x:v>
      </x:c>
      <x:c r="F12" s="16" t="str">
        <x:v>410×502，31 pin MIPI；触摸协议/电压待手册</x:v>
      </x:c>
      <x:c r="G12" s="16" t="str">
        <x:v>先用套件原屏；最终屏需验证主核 DSI 与低功耗模式配合。</x:v>
      </x:c>
      <x:c r="H12" s="16" t="str">
        <x:v>面板候选，未冻结</x:v>
      </x:c>
      <x:c r="I12" s="16" t="str">
        <x:v>ET020 尚未证明 QSPI/AOD 双系统兼容、60 Hz 时序和现货；连接器不能按 pin 数直接配。</x:v>
      </x:c>
      <x:c r="J12" s="16" t="str">
        <x:v>S02/S03/S12</x:v>
      </x:c>
    </x:row>
    <x:row r="13" ht="60.75" customHeight="1">
      <x:c r="A13" s="14" t="str">
        <x:v>B09</x:v>
      </x:c>
      <x:c r="B13" s="14" t="str">
        <x:v>盖板与排线</x:v>
      </x:c>
      <x:c r="C13" s="14" t="str">
        <x:v>自定义盖板 + FPC + 屏连接器</x:v>
      </x:c>
      <x:c r="D13" s="19" t="n">
        <x:v>1</x:v>
      </x:c>
      <x:c r="E13" s="14" t="str">
        <x:v>依屏厂二维/三维图定制</x:v>
      </x:c>
      <x:c r="F13" s="14" t="str">
        <x:v>触摸、显示、电源、TE/RESET 等</x:v>
      </x:c>
      <x:c r="G13" s="14" t="str">
        <x:v>圆角、边框、排线弯折和触摸有效区与新壳联动。</x:v>
      </x:c>
      <x:c r="H13" s="14" t="str">
        <x:v>结构待定</x:v>
      </x:c>
      <x:c r="I13" s="14" t="str">
        <x:v>面板 0.8 mm 不能视为整套屏含盖板厚度；先做结构堆叠。</x:v>
      </x:c>
      <x:c r="J13" s="14" t="str">
        <x:v>S12</x:v>
      </x:c>
    </x:row>
    <x:row r="14" ht="60.75" customHeight="1">
      <x:c r="A14" s="16" t="str">
        <x:v>B10</x:v>
      </x:c>
      <x:c r="B14" s="16" t="str">
        <x:v>光学健康模块</x:v>
      </x:c>
      <x:c r="C14" s="16" t="str">
        <x:v>MAXM86146CFU+</x:v>
      </x:c>
      <x:c r="D14" s="20" t="n">
        <x:v>1</x:v>
      </x:c>
      <x:c r="E14" s="16" t="str">
        <x:v>38 pin OLGA；4.5×4.1×0.88 mm</x:v>
      </x:c>
      <x:c r="F14" s="16" t="str">
        <x:v>1.8 V 主电源；LED 电源另核对；主机 I2C</x:v>
      </x:c>
      <x:c r="G14" s="16" t="str">
        <x:v>内含 MAX86141 + MAX32664C + 两个 PD；不重复外加这三类器件。</x:v>
      </x:c>
      <x:c r="H14" s="16" t="str">
        <x:v>优先评估候选</x:v>
      </x:c>
      <x:c r="I14" s="16" t="str">
        <x:v>先拿到匹配固件/GUI并跑通；封壳光学与静止血氧验证后定型。</x:v>
      </x:c>
      <x:c r="J14" s="16" t="str">
        <x:v>S13/S14</x:v>
      </x:c>
    </x:row>
    <x:row r="15" ht="60.75" customHeight="1">
      <x:c r="A15" s="14" t="str">
        <x:v>B11</x:v>
      </x:c>
      <x:c r="B15" s="14" t="str">
        <x:v>红光与红外 LED</x:v>
      </x:c>
      <x:c r="C15" s="14" t="str">
        <x:v>SFH 7015 / Q65113A4161</x:v>
      </x:c>
      <x:c r="D15" s="19" t="n">
        <x:v>1</x:v>
      </x:c>
      <x:c r="E15" s="14" t="str">
        <x:v>2×0.8×0.6 mm</x:v>
      </x:c>
      <x:c r="F15" s="14" t="str">
        <x:v>655 nm 红光 + 940 nm IR</x:v>
      </x:c>
      <x:c r="G15" s="14" t="str">
        <x:v>与参考板一致的发光器件系列；波段和电流须匹配算法。</x:v>
      </x:c>
      <x:c r="H15" s="14" t="str">
        <x:v>参考设计选型</x:v>
      </x:c>
      <x:c r="I15" s="14" t="str">
        <x:v>正式分档、光学距离、遮光和脉冲电流需验证。</x:v>
      </x:c>
      <x:c r="J15" s="14" t="str">
        <x:v>S15/S22</x:v>
      </x:c>
    </x:row>
    <x:row r="16" ht="60.75" customHeight="1">
      <x:c r="A16" s="16" t="str">
        <x:v>B12</x:v>
      </x:c>
      <x:c r="B16" s="16" t="str">
        <x:v>绿光 LED</x:v>
      </x:c>
      <x:c r="C16" s="16" t="str">
        <x:v>CT DBLP31.12-6C5D-56-J6U6</x:v>
      </x:c>
      <x:c r="D16" s="20" t="n">
        <x:v>2</x:v>
      </x:c>
      <x:c r="E16" s="16" t="str">
        <x:v>封装尺寸查完整订货号图纸</x:v>
      </x:c>
      <x:c r="F16" s="16" t="str">
        <x:v>绿光；按参考板电路驱动</x:v>
      </x:c>
      <x:c r="G16" s="16" t="str">
        <x:v>沿用 EVSYS 的两颗绿光布局作为起点。</x:v>
      </x:c>
      <x:c r="H16" s="16" t="str">
        <x:v>参考料号，供货待确认</x:v>
      </x:c>
      <x:c r="I16" s="16" t="str">
        <x:v>缺货时先验证替代品波长、光功率和光学布局，不能只按外形替换。</x:v>
      </x:c>
      <x:c r="J16" s="16" t="str">
        <x:v>S15/S23</x:v>
      </x:c>
    </x:row>
    <x:row r="17" ht="60.75" customHeight="1">
      <x:c r="A17" s="14" t="str">
        <x:v>B13</x:v>
      </x:c>
      <x:c r="B17" s="14" t="str">
        <x:v>LED 切换电路</x:v>
      </x:c>
      <x:c r="C17" s="14" t="str">
        <x:v>MAX14689EWL+</x:v>
      </x:c>
      <x:c r="D17" s="19" t="n">
        <x:v>1</x:v>
      </x:c>
      <x:c r="E17" s="14" t="str">
        <x:v>WLP，按参考板封装</x:v>
      </x:c>
      <x:c r="F17" s="14" t="str">
        <x:v>LED 驱动通路切换</x:v>
      </x:c>
      <x:c r="G17" s="14" t="str">
        <x:v>四个发光芯片与三个驱动通道的参考拓扑配套。</x:v>
      </x:c>
      <x:c r="H17" s="14" t="str">
        <x:v>参考设计选型</x:v>
      </x:c>
      <x:c r="I17" s="14" t="str">
        <x:v>保留 GPIO 控制及固件配置；改变 LED 数量须同步改电路与算法设置。</x:v>
      </x:c>
      <x:c r="J17" s="14" t="str">
        <x:v>S15</x:v>
      </x:c>
    </x:row>
    <x:row r="18" ht="60.75" customHeight="1">
      <x:c r="A18" s="16" t="str">
        <x:v>B14</x:v>
      </x:c>
      <x:c r="B18" s="16" t="str">
        <x:v>健康板时钟/电源</x:v>
      </x:c>
      <x:c r="C18" s="16" t="str">
        <x:v>32.768 kHz 时钟及参考去耦/LED 供电</x:v>
      </x:c>
      <x:c r="D18" s="20" t="n">
        <x:v>1</x:v>
      </x:c>
      <x:c r="E18" s="16" t="str">
        <x:v>按健康模块参考设计</x:v>
      </x:c>
      <x:c r="F18" s="16" t="str">
        <x:v>1.8 V 域 + LED 域；禁止按平台电压直接接线</x:v>
      </x:c>
      <x:c r="G18" s="16" t="str">
        <x:v>完整供电、复位、MFIO、时钟和测试点。</x:v>
      </x:c>
      <x:c r="H18" s="16" t="str">
        <x:v>原理图待展开</x:v>
      </x:c>
      <x:c r="I18" s="16" t="str">
        <x:v>RTC 晶体 CM1610H32768DZB 为参考板用料；替代需 ESR/CL/启动验证。</x:v>
      </x:c>
      <x:c r="J18" s="16" t="str">
        <x:v>S15</x:v>
      </x:c>
    </x:row>
    <x:row r="19" ht="76.5" customHeight="1">
      <x:c r="A19" s="14" t="str">
        <x:v>B15</x:v>
      </x:c>
      <x:c r="B19" s="14" t="str">
        <x:v>运动 IMU</x:v>
      </x:c>
      <x:c r="C19" s="14" t="str">
        <x:v>LSM6DSOTR</x:v>
      </x:c>
      <x:c r="D19" s="19" t="n">
        <x:v>1</x:v>
      </x:c>
      <x:c r="E19" s="14" t="str">
        <x:v>LGA；2.5×3×0.83 mm</x:v>
      </x:c>
      <x:c r="F19" s="14" t="str">
        <x:v>I2C/SPI + INT；建议 1.8 V IO 域</x:v>
      </x:c>
      <x:c r="G19" s="14" t="str">
        <x:v>抬腕、计步、运动输入；主机/低功耗核向健康模块喂入加速度数据。</x:v>
      </x:c>
      <x:c r="H19" s="14" t="str">
        <x:v>在产候选</x:v>
      </x:c>
      <x:c r="I19" s="14" t="str">
        <x:v>ADI 内置驱动不直接支持该 IMU；时间戳、量纲、方向、采样率和主机供数模式必须验证。</x:v>
      </x:c>
      <x:c r="J19" s="14" t="str">
        <x:v>S16/S17/S18</x:v>
      </x:c>
    </x:row>
    <x:row r="20" ht="60.75" customHeight="1">
      <x:c r="A20" s="16" t="str">
        <x:v>B16</x:v>
      </x:c>
      <x:c r="B20" s="16" t="str">
        <x:v>PPG 光学结构</x:v>
      </x:c>
      <x:c r="C20" s="16" t="str">
        <x:v>黑色隔光墙 + 光学窗 + 皮肤接触支撑</x:v>
      </x:c>
      <x:c r="D20" s="20" t="n">
        <x:v>1</x:v>
      </x:c>
      <x:c r="E20" s="16" t="str">
        <x:v>按传感器/LED 间距和后盖定制</x:v>
      </x:c>
      <x:c r="F20" s="16" t="str">
        <x:v>红/IR 透过率与串光控制</x:v>
      </x:c>
      <x:c r="G20" s="16" t="str">
        <x:v>保持贴肤、减少直达光；结构是健康测量链的一部分。</x:v>
      </x:c>
      <x:c r="H20" s="16" t="str">
        <x:v>必需定制</x:v>
      </x:c>
      <x:c r="I20" s="16" t="str">
        <x:v>不能用透明后盖直接覆盖后就认定血氧可用；替换窗口后重新校准/验证。</x:v>
      </x:c>
      <x:c r="J20" s="16" t="str">
        <x:v>S13/S15</x:v>
      </x:c>
    </x:row>
    <x:row r="21" ht="60.75" customHeight="1">
      <x:c r="A21" s="14" t="str">
        <x:v>B17</x:v>
      </x:c>
      <x:c r="B21" s="14" t="str">
        <x:v>触觉驱动</x:v>
      </x:c>
      <x:c r="C21" s="14" t="str">
        <x:v>DRV2605L（如平台驱动不足）</x:v>
      </x:c>
      <x:c r="D21" s="19" t="n">
        <x:v>1</x:v>
      </x:c>
      <x:c r="E21" s="14" t="str">
        <x:v>最终封装按高度选</x:v>
      </x:c>
      <x:c r="F21" s="14" t="str">
        <x:v>I2C；LRA 闭环驱动</x:v>
      </x:c>
      <x:c r="G21" s="14" t="str">
        <x:v>先评估平台已有驱动能力，再决定是否新增此器件。</x:v>
      </x:c>
      <x:c r="H21" s="14" t="str">
        <x:v>条件装配</x:v>
      </x:c>
      <x:c r="I21" s="14" t="str">
        <x:v>与平台自带触觉驱动二选一，不重复装；按最终 LRA 调整电压和波形。</x:v>
      </x:c>
      <x:c r="J21" s="14" t="str">
        <x:v>S02/S21</x:v>
      </x:c>
    </x:row>
    <x:row r="22" ht="60.75" customHeight="1">
      <x:c r="A22" s="16" t="str">
        <x:v>B18</x:v>
      </x:c>
      <x:c r="B22" s="16" t="str">
        <x:v>线性马达</x:v>
      </x:c>
      <x:c r="C22" s="16" t="str">
        <x:v>小型 LRA，具体 MPN 待机械样件</x:v>
      </x:c>
      <x:c r="D22" s="20" t="n">
        <x:v>1</x:v>
      </x:c>
      <x:c r="E22" s="16" t="str">
        <x:v>先分配独立刚性安装腔</x:v>
      </x:c>
      <x:c r="F22" s="16" t="str">
        <x:v>额定电压/谐振频率/制动性能待选</x:v>
      </x:c>
      <x:c r="G22" s="16" t="str">
        <x:v>表冠刻度、通知和触觉反馈。</x:v>
      </x:c>
      <x:c r="H22" s="16" t="str">
        <x:v>结构后选定</x:v>
      </x:c>
      <x:c r="I22" s="16" t="str">
        <x:v>用加速度响应和主观佩戴测试选型，不保证与 Apple 触感相同。</x:v>
      </x:c>
      <x:c r="J22" s="16" t="str">
        <x:v>S21</x:v>
      </x:c>
    </x:row>
    <x:row r="23" ht="60.75" customHeight="1">
      <x:c r="A23" s="14" t="str">
        <x:v>B19</x:v>
      </x:c>
      <x:c r="B23" s="14" t="str">
        <x:v>表冠和侧键</x:v>
      </x:c>
      <x:c r="C23" s="14" t="str">
        <x:v>可按压旋转编码机构 + 侧键</x:v>
      </x:c>
      <x:c r="D23" s="19" t="n">
        <x:v>1</x:v>
      </x:c>
      <x:c r="E23" s="14" t="str">
        <x:v>新结构设计；预留 ECG 触点</x:v>
      </x:c>
      <x:c r="F23" s="14" t="str">
        <x:v>GPIO/编码器/光学或磁检测择一</x:v>
      </x:c>
      <x:c r="G23" s="14" t="str">
        <x:v>旋转、按压、长按和防误触；模块化便于替换。</x:v>
      </x:c>
      <x:c r="H23" s="14" t="str">
        <x:v>机构候选待定</x:v>
      </x:c>
      <x:c r="I23" s="14" t="str">
        <x:v>磁编码方案须评估与磁力计冲突；密封、轴向窜动和触感一起验证。</x:v>
      </x:c>
      <x:c r="J23" s="14" t="str">
        <x:v>工程设计</x:v>
      </x:c>
    </x:row>
    <x:row r="24" ht="60.75" customHeight="1">
      <x:c r="A24" s="16" t="str">
        <x:v>B20</x:v>
      </x:c>
      <x:c r="B24" s="16" t="str">
        <x:v>音频链</x:v>
      </x:c>
      <x:c r="C24" s="16" t="str">
        <x:v>平台 Codec + MEMS MIC + Speaker/PA</x:v>
      </x:c>
      <x:c r="D24" s="20" t="n">
        <x:v>1</x:v>
      </x:c>
      <x:c r="E24" s="16" t="str">
        <x:v>按平台参考设计与声腔空间</x:v>
      </x:c>
      <x:c r="F24" s="16" t="str">
        <x:v>DMIC/PDM/I2S/模拟路径以 BSP 为准</x:v>
      </x:c>
      <x:c r="G24" s="16" t="str">
        <x:v>通话、语音回复、提示音和回声处理；作为一组。</x:v>
      </x:c>
      <x:c r="H24" s="16" t="str">
        <x:v>随参考设计</x:v>
      </x:c>
      <x:c r="I24" s="16" t="str">
        <x:v>先沿用套件音频；不能仅换扬声器就承诺防水声学与回声表现。</x:v>
      </x:c>
      <x:c r="J24" s="16" t="str">
        <x:v>S03</x:v>
      </x:c>
    </x:row>
    <x:row r="25" ht="60.75" customHeight="1">
      <x:c r="A25" s="14" t="str">
        <x:v>B21</x:v>
      </x:c>
      <x:c r="B25" s="14" t="str">
        <x:v>无线与天线</x:v>
      </x:c>
      <x:c r="C25" s="14" t="str">
        <x:v>LTE、GNSS、Wi-Fi/BT 天线及匹配网络</x:v>
      </x:c>
      <x:c r="D25" s="19" t="n">
        <x:v>1</x:v>
      </x:c>
      <x:c r="E25" s="14" t="str">
        <x:v>按最终壳体/电池共同设计</x:v>
      </x:c>
      <x:c r="F25" s="14" t="str">
        <x:v>50 Ω 路径按实际栈叠控制</x:v>
      </x:c>
      <x:c r="G25" s="14" t="str">
        <x:v>SoC 能力仍需完整 RF/WCN 配套；天线数量依共用拓扑确定。</x:v>
      </x:c>
      <x:c r="H25" s="14" t="str">
        <x:v>射频方案待定</x:v>
      </x:c>
      <x:c r="I25" s="14" t="str">
        <x:v>首轮外置天线；封壳后 OTA/匹配/佩戴失谐测试，不能照搬开发板匹配值。</x:v>
      </x:c>
      <x:c r="J25" s="14" t="str">
        <x:v>S02/S03</x:v>
      </x:c>
    </x:row>
    <x:row r="26" ht="60.75" customHeight="1">
      <x:c r="A26" s="16" t="str">
        <x:v>B22</x:v>
      </x:c>
      <x:c r="B26" s="16" t="str">
        <x:v>SIM / eSIM</x:v>
      </x:c>
      <x:c r="C26" s="16" t="str">
        <x:v>台架 Nano-SIM；整机 eUICC 条件集成</x:v>
      </x:c>
      <x:c r="D26" s="20" t="n">
        <x:v>1</x:v>
      </x:c>
      <x:c r="E26" s="16" t="str">
        <x:v>卡座或焊接芯片依运营商方案</x:v>
      </x:c>
      <x:c r="F26" s="16" t="str">
        <x:v>SIM 电气接口按平台手册</x:v>
      </x:c>
      <x:c r="G26" s="16" t="str">
        <x:v>LTE/VoLTE 先验证；eSIM 一机一号/一号双终端分别确认。</x:v>
      </x:c>
      <x:c r="H26" s="16" t="str">
        <x:v>台架明确；整机待确认</x:v>
      </x:c>
      <x:c r="I26" s="16" t="str">
        <x:v>开发套件 eSIM 为预留，不代表交付即能开通；纳入 PCB 前确认服务路径。</x:v>
      </x:c>
      <x:c r="J26" s="16" t="str">
        <x:v>S03</x:v>
      </x:c>
    </x:row>
    <x:row r="27" ht="60.75" customHeight="1">
      <x:c r="A27" s="14" t="str">
        <x:v>B23</x:v>
      </x:c>
      <x:c r="B27" s="14" t="str">
        <x:v>电池</x:v>
      </x:c>
      <x:c r="C27" s="14" t="str">
        <x:v>单节 LiPo，500 mAh 为容量假设</x:v>
      </x:c>
      <x:c r="D27" s="19" t="n">
        <x:v>1</x:v>
      </x:c>
      <x:c r="E27" s="14" t="str">
        <x:v>尺寸、倍率、终止电压待堆叠选型</x:v>
      </x:c>
      <x:c r="F27" s="14" t="str">
        <x:v>保护/NTC；充电器与电芯一致</x:v>
      </x:c>
      <x:c r="G27" s="14" t="str">
        <x:v>用 3.85 V 标称值仅做能量计算；不是已选电芯。</x:v>
      </x:c>
      <x:c r="H27" s="14" t="str">
        <x:v>未冻结</x:v>
      </x:c>
      <x:c r="I27" s="14" t="str">
        <x:v>按 LTE 发射峰值、内阻、低电量压降和厚度选择；最终容量不以此假设强塞。</x:v>
      </x:c>
      <x:c r="J27" s="14" t="str">
        <x:v>工程假设</x:v>
      </x:c>
    </x:row>
    <x:row r="28" ht="60.75" customHeight="1">
      <x:c r="A28" s="16" t="str">
        <x:v>B24</x:v>
      </x:c>
      <x:c r="B28" s="16" t="str">
        <x:v>充电与电量</x:v>
      </x:c>
      <x:c r="C28" s="16" t="str">
        <x:v>平台充电/电量计 + 磁吸底座接入</x:v>
      </x:c>
      <x:c r="D28" s="20" t="n">
        <x:v>1</x:v>
      </x:c>
      <x:c r="E28" s="16" t="str">
        <x:v>线圈/触点依外壳和热设计</x:v>
      </x:c>
      <x:c r="F28" s="16" t="str">
        <x:v>先用受控台架电源；目标保留磁吸充电体验</x:v>
      </x:c>
      <x:c r="G28" s="16" t="str">
        <x:v>无线接收与有线触点方案分别评估，优先采用平台已有参考方案。</x:v>
      </x:c>
      <x:c r="H28" s="16" t="str">
        <x:v>整机方式待验证</x:v>
      </x:c>
      <x:c r="I28" s="16" t="str">
        <x:v>不假定兼容 Apple 充电盘；线圈/温升/磁场影响和电量模型均需封壳验证。</x:v>
      </x:c>
      <x:c r="J28" s="16" t="str">
        <x:v>S02/S03</x:v>
      </x:c>
    </x:row>
    <x:row r="29" ht="60.75" customHeight="1">
      <x:c r="A29" s="14" t="str">
        <x:v>B25</x:v>
      </x:c>
      <x:c r="B29" s="14" t="str">
        <x:v>环境光</x:v>
      </x:c>
      <x:c r="C29" s="14" t="str">
        <x:v>OPT3001</x:v>
      </x:c>
      <x:c r="D29" s="19" t="n">
        <x:v>1</x:v>
      </x:c>
      <x:c r="E29" s="14" t="str">
        <x:v>封装依高度和光路选择</x:v>
      </x:c>
      <x:c r="F29" s="14" t="str">
        <x:v>I2C + INT</x:v>
      </x:c>
      <x:c r="G29" s="14" t="str">
        <x:v>自动调节屏幕亮度。</x:v>
      </x:c>
      <x:c r="H29" s="14" t="str">
        <x:v>候选</x:v>
      </x:c>
      <x:c r="I29" s="14" t="str">
        <x:v>查明屏幕总成是否已含 ALS，避免重复；盖板油墨需透光校准。</x:v>
      </x:c>
      <x:c r="J29" s="14" t="str">
        <x:v>S29</x:v>
      </x:c>
    </x:row>
    <x:row r="30" ht="60.75" customHeight="1">
      <x:c r="A30" s="16" t="str">
        <x:v>B26</x:v>
      </x:c>
      <x:c r="B30" s="16" t="str">
        <x:v>气压高度</x:v>
      </x:c>
      <x:c r="C30" s="16" t="str">
        <x:v>BMP390</x:v>
      </x:c>
      <x:c r="D30" s="20" t="n">
        <x:v>1</x:v>
      </x:c>
      <x:c r="E30" s="16" t="str">
        <x:v>LGA；2×2×0.75 mm</x:v>
      </x:c>
      <x:c r="F30" s="16" t="str">
        <x:v>I2C/SPI</x:v>
      </x:c>
      <x:c r="G30" s="16" t="str">
        <x:v>相对高度和爬楼等输入。</x:v>
      </x:c>
      <x:c r="H30" s="16" t="str">
        <x:v>后续集成候选</x:v>
      </x:c>
      <x:c r="I30" s="16" t="str">
        <x:v>设计通气及防水膜；气压高度需校准和天气补偿。</x:v>
      </x:c>
      <x:c r="J30" s="16" t="str">
        <x:v>S26</x:v>
      </x:c>
    </x:row>
    <x:row r="31" ht="60.75" customHeight="1">
      <x:c r="A31" s="14" t="str">
        <x:v>B27</x:v>
      </x:c>
      <x:c r="B31" s="14" t="str">
        <x:v>指南针</x:v>
      </x:c>
      <x:c r="C31" s="14" t="str">
        <x:v>BMM350</x:v>
      </x:c>
      <x:c r="D31" s="19" t="n">
        <x:v>1</x:v>
      </x:c>
      <x:c r="E31" s="14" t="str">
        <x:v>按当前料号封装图</x:v>
      </x:c>
      <x:c r="F31" s="14" t="str">
        <x:v>接口与平台 Sensor HAL 核对</x:v>
      </x:c>
      <x:c r="G31" s="14" t="str">
        <x:v>姿态/方向输入，结合 IMU。</x:v>
      </x:c>
      <x:c r="H31" s="14" t="str">
        <x:v>后续集成候选</x:v>
      </x:c>
      <x:c r="I31" s="14" t="str">
        <x:v>远离马达、扬声器和充电磁铁；硬铁/软铁及佩戴校准。</x:v>
      </x:c>
      <x:c r="J31" s="14" t="str">
        <x:v>S30</x:v>
      </x:c>
    </x:row>
    <x:row r="32" ht="60.75" customHeight="1">
      <x:c r="A32" s="16" t="str">
        <x:v>B28</x:v>
      </x:c>
      <x:c r="B32" s="16" t="str">
        <x:v>腕温</x:v>
      </x:c>
      <x:c r="C32" s="16" t="str">
        <x:v>TMP117</x:v>
      </x:c>
      <x:c r="D32" s="20" t="n">
        <x:v>1</x:v>
      </x:c>
      <x:c r="E32" s="16" t="str">
        <x:v>按后盖热路径选封装</x:v>
      </x:c>
      <x:c r="F32" s="16" t="str">
        <x:v>I2C</x:v>
      </x:c>
      <x:c r="G32" s="16" t="str">
        <x:v>记录腕部温度及趋势。</x:v>
      </x:c>
      <x:c r="H32" s="16" t="str">
        <x:v>后续集成候选</x:v>
      </x:c>
      <x:c r="I32" s="16" t="str">
        <x:v>热隔离主处理器和充电线圈；不把芯片精度直接当作体温精度。</x:v>
      </x:c>
      <x:c r="J32" s="16" t="str">
        <x:v>S25</x:v>
      </x:c>
    </x:row>
    <x:row r="33" ht="60.75" customHeight="1">
      <x:c r="A33" s="14" t="str">
        <x:v>B29</x:v>
      </x:c>
      <x:c r="B33" s="14" t="str">
        <x:v>ECG</x:v>
      </x:c>
      <x:c r="C33" s="14" t="str">
        <x:v>MAX30003 + 后盖/表冠电极</x:v>
      </x:c>
      <x:c r="D33" s="19" t="n">
        <x:v>1</x:v>
      </x:c>
      <x:c r="E33" s="14" t="str">
        <x:v>按模拟前端和电极空间定</x:v>
      </x:c>
      <x:c r="F33" s="14" t="str">
        <x:v>SPI + 32 kHz 时钟；按完整参考电路</x:v>
      </x:c>
      <x:c r="G33" s="14" t="str">
        <x:v>单导联波形/R-R；本条为一组，包含保护和滤波待展开。</x:v>
      </x:c>
      <x:c r="H33" s="14" t="str">
        <x:v>后续集成候选</x:v>
      </x:c>
      <x:c r="I33" s="14" t="str">
        <x:v>先用 ECG 模拟器；人体连接测试须建立适当隔离和电池供电条件。</x:v>
      </x:c>
      <x:c r="J33" s="14" t="str">
        <x:v>S24</x:v>
      </x:c>
    </x:row>
    <x:row r="34" ht="60.75" customHeight="1">
      <x:c r="A34" s="16" t="str">
        <x:v>B30</x:v>
      </x:c>
      <x:c r="B34" s="16" t="str">
        <x:v>NFC/安全器件</x:v>
      </x:c>
      <x:c r="C34" s="16" t="str">
        <x:v>平台支持的 NFC/SE/线圈组合</x:v>
      </x:c>
      <x:c r="D34" s="20" t="n">
        <x:v>1</x:v>
      </x:c>
      <x:c r="E34" s="16" t="str">
        <x:v>按服务商参考方案</x:v>
      </x:c>
      <x:c r="F34" s="16" t="str">
        <x:v>I2C/SPI/NCI 等由方案决定</x:v>
      </x:c>
      <x:c r="G34" s="16" t="str">
        <x:v>保留公交/门禁/支付扩展目标，实际服务逐项验证。</x:v>
      </x:c>
      <x:c r="H34" s="16" t="str">
        <x:v>接入后选定</x:v>
      </x:c>
      <x:c r="I34" s="16" t="str">
        <x:v>不预选 PN7160 作为银行卡支付方案；不将 NFC 能力当成支付资格。</x:v>
      </x:c>
      <x:c r="J34" s="16" t="str">
        <x:v>S31</x:v>
      </x:c>
    </x:row>
    <x:row r="35" ht="60.75" customHeight="1">
      <x:c r="A35" s="14" t="str">
        <x:v>B31</x:v>
      </x:c>
      <x:c r="B35" s="14" t="str">
        <x:v>PCB/FPC/屏蔽</x:v>
      </x:c>
      <x:c r="C35" s="14" t="str">
        <x:v>参考布局派生的 HDI 主板 + 传感板/FPC</x:v>
      </x:c>
      <x:c r="D35" s="19" t="n">
        <x:v>1</x:v>
      </x:c>
      <x:c r="E35" s="14" t="str">
        <x:v>约 46 mm 外观约束；轮廓/层数待布线</x:v>
      </x:c>
      <x:c r="F35" s="14" t="str">
        <x:v>高速、RF、敏感模拟区域协同设计</x:v>
      </x:c>
      <x:c r="G35" s="14" t="str">
        <x:v>先转接/扩展板，再紧凑主板；首轮保留调试接入口。</x:v>
      </x:c>
      <x:c r="H35" s="14" t="str">
        <x:v>原理图后展开</x:v>
      </x:c>
      <x:c r="I35" s="14" t="str">
        <x:v>不预先保证 4/6 层可布；DDR/DSI/RF 和 HDI 加工能力决定栈叠。</x:v>
      </x:c>
      <x:c r="J35" s="14" t="str">
        <x:v>工程设计</x:v>
      </x:c>
    </x:row>
    <x:row r="36" ht="60.75" customHeight="1">
      <x:c r="A36" s="16" t="str">
        <x:v>B32</x:v>
      </x:c>
      <x:c r="B36" s="16" t="str">
        <x:v>整机外壳</x:v>
      </x:c>
      <x:c r="C36" s="16" t="str">
        <x:v>自研中框/后盖/表带连接/密封件</x:v>
      </x:c>
      <x:c r="D36" s="20" t="n">
        <x:v>1</x:v>
      </x:c>
      <x:c r="E36" s="16" t="str">
        <x:v>原型 3D 打印，后续 CNC/模具</x:v>
      </x:c>
      <x:c r="F36" s="16" t="str">
        <x:v>全新结构，不复用华强北零件</x:v>
      </x:c>
      <x:c r="G36" s="16" t="str">
        <x:v>屏幕、电池、光学、声腔、天线和表冠共同堆叠。</x:v>
      </x:c>
      <x:c r="H36" s="16" t="str">
        <x:v>结构待设计</x:v>
      </x:c>
      <x:c r="I36" s="16" t="str">
        <x:v>第一轮不承诺 Apple 的厚度、防水和重量；逐项实测收敛。</x:v>
      </x:c>
      <x:c r="J36" s="16" t="str">
        <x:v>用户目标/工程设计</x:v>
      </x:c>
    </x:row>
    <x:row r="37" ht="60.75" customHeight="1">
      <x:c r="A37" s="14" t="str">
        <x:v>B33</x:v>
      </x:c>
      <x:c r="B37" s="14" t="str">
        <x:v>无源器件与连接</x:v>
      </x:c>
      <x:c r="C37" s="14" t="str">
        <x:v>按原理图展开完整 MPN/位号/数量</x:v>
      </x:c>
      <x:c r="D37" s="19"/>
      <x:c r="E37" s="14" t="str">
        <x:v>去耦、滤波、ESD、连接器、测试点</x:v>
      </x:c>
      <x:c r="F37" s="14" t="str">
        <x:v>平台器件必须遵循推荐取值和布局</x:v>
      </x:c>
      <x:c r="G37" s="14" t="str">
        <x:v>本选型表不能替代原理图导出的生产 BOM。</x:v>
      </x:c>
      <x:c r="H37" s="14" t="str">
        <x:v>待设计展开</x:v>
      </x:c>
      <x:c r="I37" s="14" t="str">
        <x:v>未知数量留空；实际采购须补齐位号、容差、封装、耐压和替代规则。</x:v>
      </x:c>
      <x:c r="J37" s="14" t="str">
        <x:v>工程设计</x:v>
      </x:c>
    </x:row>
  </x:sheetData>
  <x:pageMargins left="0.7" right="0.7" top="0.75" bottom="0.75" header="0.3" footer="0.3"/>
  <x:tableParts count="1">
    <x:tablePart xmlns:r="http://schemas.openxmlformats.org/officeDocument/2006/relationships" r:id="R1ef353216e104be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.880000114440918" hidden="0" customWidth="1"/>
    <x:col min="2" max="2" width="32.5" hidden="0" customWidth="1"/>
    <x:col min="3" max="3" width="6.880000114440918" hidden="0" customWidth="1"/>
    <x:col min="4" max="4" width="15" hidden="0" customWidth="1"/>
    <x:col min="5" max="5" width="15" hidden="0" customWidth="1"/>
    <x:col min="6" max="6" width="22.5" hidden="0" customWidth="1"/>
    <x:col min="7" max="7" width="50" hidden="0" customWidth="1"/>
    <x:col min="8" max="8" width="12.5" hidden="0" customWidth="1"/>
  </x:cols>
  <x:sheetData>
    <x:row r="1" ht="29" customHeight="1">
      <x:c r="A1" s="4" t="str">
        <x:v>开发采购</x:v>
      </x:c>
      <x:c r="B1" s="2"/>
      <x:c r="C1" s="2"/>
      <x:c r="D1" s="2"/>
      <x:c r="E1" s="2"/>
      <x:c r="F1" s="2"/>
      <x:c r="G1" s="2"/>
      <x:c r="H1" s="2"/>
    </x:row>
    <x:row r="2" ht="22" customHeight="1">
      <x:c r="A2" s="6" t="str">
        <x:v>仅 USD 页面参考价；非报价，税运/授权/服务另计。空白表示待报价。</x:v>
      </x:c>
      <x:c r="B2" s="5"/>
      <x:c r="C2" s="5"/>
      <x:c r="D2" s="5"/>
      <x:c r="E2" s="5"/>
      <x:c r="F2" s="5"/>
      <x:c r="G2" s="5"/>
      <x:c r="H2" s="5"/>
    </x:row>
    <x:row r="3">
      <x:c r="A3" s="2"/>
      <x:c r="B3" s="2"/>
      <x:c r="C3" s="2"/>
      <x:c r="D3" s="2"/>
      <x:c r="E3" s="2"/>
      <x:c r="F3" s="2"/>
      <x:c r="G3" s="2"/>
      <x:c r="H3" s="2"/>
    </x:row>
    <x:row r="4" ht="32" customHeight="1">
      <x:c r="A4" s="10" t="str">
        <x:v>编号</x:v>
      </x:c>
      <x:c r="B4" s="11" t="str">
        <x:v>项目</x:v>
      </x:c>
      <x:c r="C4" s="11" t="str">
        <x:v>数量</x:v>
      </x:c>
      <x:c r="D4" s="11" t="str">
        <x:v>参考单价 USD</x:v>
      </x:c>
      <x:c r="E4" s="11" t="str">
        <x:v>小计 USD</x:v>
      </x:c>
      <x:c r="F4" s="11" t="str">
        <x:v>采购时点</x:v>
      </x:c>
      <x:c r="G4" s="11" t="str">
        <x:v>约束/包含范围</x:v>
      </x:c>
      <x:c r="H4" s="12" t="str">
        <x:v>来源</x:v>
      </x:c>
    </x:row>
    <x:row r="5" ht="48" customHeight="1">
      <x:c r="A5" s="14" t="str">
        <x:v>P01</x:v>
      </x:c>
      <x:c r="B5" s="14" t="str">
        <x:v>TurboX W5+ Development Kit</x:v>
      </x:c>
      <x:c r="C5" s="17" t="n">
        <x:v>1</x:v>
      </x:c>
      <x:c r="D5" s="23" t="n">
        <x:v>1999</x:v>
      </x:c>
      <x:c r="E5" s="21" t="n">
        <x:f>IF(ISNUMBER(D5),C5*D5,"")</x:f>
        <x:v>1999</x:v>
      </x:c>
      <x:c r="F5" s="14" t="str">
        <x:v>当前不要直接购买</x:v>
      </x:c>
      <x:c r="G5" s="14" t="str">
        <x:v>先确认实际 BSP、文档/源码权限及官方应用验证方案。</x:v>
      </x:c>
      <x:c r="H5" s="14" t="str">
        <x:v>S03</x:v>
      </x:c>
    </x:row>
    <x:row r="6" ht="48" customHeight="1">
      <x:c r="A6" s="16" t="str">
        <x:v>P02</x:v>
      </x:c>
      <x:c r="B6" s="16" t="str">
        <x:v>MAXM86146EVSYS</x:v>
      </x:c>
      <x:c r="C6" s="18" t="n">
        <x:v>1</x:v>
      </x:c>
      <x:c r="D6" s="23"/>
      <x:c r="E6" s="22" t="str">
        <x:f>IF(ISNUMBER(D6),C6*D6,"")</x:f>
      </x:c>
      <x:c r="F6" s="16" t="str">
        <x:v>健康评估优先候选</x:v>
      </x:c>
      <x:c r="G6" s="16" t="str">
        <x:v>先确认库存、固件/GUI 可取得及加速度供数模式。</x:v>
      </x:c>
      <x:c r="H6" s="16" t="str">
        <x:v>S14</x:v>
      </x:c>
    </x:row>
    <x:row r="7" ht="60.75" customHeight="1">
      <x:c r="A7" s="14" t="str">
        <x:v>P03</x:v>
      </x:c>
      <x:c r="B7" s="14" t="str">
        <x:v>最终方形屏样品 + 转接板</x:v>
      </x:c>
      <x:c r="C7" s="17" t="n">
        <x:v>2</x:v>
      </x:c>
      <x:c r="D7" s="23"/>
      <x:c r="E7" s="21" t="str">
        <x:f>IF(ISNUMBER(D7),C7*D7,"")</x:f>
      </x:c>
      <x:c r="F7" s="14" t="str">
        <x:v>屏手册与驱动确认后</x:v>
      </x:c>
      <x:c r="G7" s="14" t="str">
        <x:v>优先平台已验证的低功耗显示方案；不按通用 FPC 直接插接。</x:v>
      </x:c>
      <x:c r="H7" s="14" t="str">
        <x:v>S12</x:v>
      </x:c>
    </x:row>
    <x:row r="8" ht="60.75" customHeight="1">
      <x:c r="A8" s="16" t="str">
        <x:v>P04</x:v>
      </x:c>
      <x:c r="B8" s="16" t="str">
        <x:v>表冠 + LRA + 驱动评估件</x:v>
      </x:c>
      <x:c r="C8" s="18" t="n">
        <x:v>1</x:v>
      </x:c>
      <x:c r="D8" s="23"/>
      <x:c r="E8" s="22" t="str">
        <x:f>IF(ISNUMBER(D8),C8*D8,"")</x:f>
      </x:c>
      <x:c r="F8" s="16" t="str">
        <x:v>机构样件阶段</x:v>
      </x:c>
      <x:c r="G8" s="16" t="str">
        <x:v>若已有 SF58 板，可用于此独立实验；不为整机主线再买 SF58。</x:v>
      </x:c>
      <x:c r="H8" s="16" t="str">
        <x:v>S21</x:v>
      </x:c>
    </x:row>
    <x:row r="9" ht="48" customHeight="1">
      <x:c r="A9" s="14" t="str">
        <x:v>P05</x:v>
      </x:c>
      <x:c r="B9" s="14" t="str">
        <x:v>台架电源/测流治具/连接材料</x:v>
      </x:c>
      <x:c r="C9" s="17" t="n">
        <x:v>1</x:v>
      </x:c>
      <x:c r="D9" s="23"/>
      <x:c r="E9" s="21" t="str">
        <x:f>IF(ISNUMBER(D9),C9*D9,"")</x:f>
      </x:c>
      <x:c r="F9" s="14" t="str">
        <x:v>按已有仪器补缺</x:v>
      </x:c>
      <x:c r="G9" s="14" t="str">
        <x:v>用现有示波器/逻辑分析仪；确认量程和动态响应。</x:v>
      </x:c>
      <x:c r="H9" s="14" t="str">
        <x:v>工程配置</x:v>
      </x:c>
    </x:row>
    <x:row r="10" ht="48" customHeight="1">
      <x:c r="A10" s="16" t="str">
        <x:v>P06</x:v>
      </x:c>
      <x:c r="B10" s="16" t="str">
        <x:v>首轮扩展板及装配</x:v>
      </x:c>
      <x:c r="C10" s="18" t="n">
        <x:v>1</x:v>
      </x:c>
      <x:c r="D10" s="23"/>
      <x:c r="E10" s="22" t="str">
        <x:f>IF(ISNUMBER(D10),C10*D10,"")</x:f>
      </x:c>
      <x:c r="F10" s="16" t="str">
        <x:v>应用与外设验证后</x:v>
      </x:c>
      <x:c r="G10" s="16" t="str">
        <x:v>供应商参考接口确定后报价；不含最终 HDI 主板。</x:v>
      </x:c>
      <x:c r="H10" s="16" t="str">
        <x:v>工程配置</x:v>
      </x:c>
    </x:row>
    <x:row r="11" ht="48" customHeight="1">
      <x:c r="A11" s="14" t="str">
        <x:v>P07</x:v>
      </x:c>
      <x:c r="B11" s="14" t="str">
        <x:v>3D 结构与光学样件</x:v>
      </x:c>
      <x:c r="C11" s="17" t="n">
        <x:v>1</x:v>
      </x:c>
      <x:c r="D11" s="23"/>
      <x:c r="E11" s="21" t="str">
        <x:f>IF(ISNUMBER(D11),C11*D11,"")</x:f>
      </x:c>
      <x:c r="F11" s="14" t="str">
        <x:v>与布局同步</x:v>
      </x:c>
      <x:c r="G11" s="14" t="str">
        <x:v>分批验证屏幕、电池、PPG 接触和表冠行程。</x:v>
      </x:c>
      <x:c r="H11" s="14" t="str">
        <x:v>工程配置</x:v>
      </x:c>
    </x:row>
    <x:row r="12" ht="48" customHeight="1">
      <x:c r="A12" s="16" t="str">
        <x:v>P08</x:v>
      </x:c>
      <x:c r="B12" s="16" t="str">
        <x:v>RF/声学外部测试服务</x:v>
      </x:c>
      <x:c r="C12" s="18" t="n">
        <x:v>1</x:v>
      </x:c>
      <x:c r="D12" s="23"/>
      <x:c r="E12" s="22" t="str">
        <x:f>IF(ISNUMBER(D12),C12*D12,"")</x:f>
      </x:c>
      <x:c r="F12" s="16" t="str">
        <x:v>紧凑样机阶段</x:v>
      </x:c>
      <x:c r="G12" s="16" t="str">
        <x:v>范围确定后单独询价，不计入已知器件价格。</x:v>
      </x:c>
      <x:c r="H12" s="16" t="str">
        <x:v>工程配置</x:v>
      </x:c>
    </x:row>
    <x:row r="15" ht="34" customHeight="1">
      <x:c r="A15" s="1"/>
      <x:c r="B15" s="26" t="str">
        <x:v>已知价格小计（非预算总额）</x:v>
      </x:c>
      <x:c r="C15" s="1"/>
      <x:c r="D15" s="1"/>
      <x:c r="E15" s="27" t="n">
        <x:f>SUM(E5:E12)</x:f>
        <x:v>1999</x:v>
      </x:c>
      <x:c r="F15" s="1"/>
      <x:c r="G15" s="1"/>
      <x:c r="H15" s="1"/>
    </x:row>
    <x:row r="16" ht="34" customHeight="1">
      <x:c r="A16" s="1"/>
      <x:c r="B16" s="26" t="str">
        <x:v>尚无单价的项目数</x:v>
      </x:c>
      <x:c r="C16" s="1"/>
      <x:c r="D16" s="1"/>
      <x:c r="E16" s="1" t="n">
        <x:f>ROWS(D5:D12)-COUNT(D5:D12)</x:f>
        <x:v>7</x:v>
      </x:c>
      <x:c r="F16" s="1"/>
      <x:c r="G16" s="1"/>
      <x:c r="H16" s="1"/>
    </x:row>
    <x:row r="17" ht="34" customHeight="1">
      <x:c r="A17" s="1"/>
      <x:c r="B17" s="26" t="str">
        <x:v>全部项目报价合计</x:v>
      </x:c>
      <x:c r="C17" s="1"/>
      <x:c r="D17" s="1"/>
      <x:c r="E17" s="27" t="str">
        <x:f>IF(COUNT(D5:D12)=ROWS(D5:D12),SUM(E5:E12),"待报价")</x:f>
        <x:v>待报价</x:v>
      </x:c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 t="str">
        <x:v>备选不计入合计：MAXREFDES105#，页面 USD 326.08；资料涉及 NDA。</x:v>
      </x:c>
      <x:c r="C19" s="1"/>
      <x:c r="D19" s="1"/>
      <x:c r="E19" s="1"/>
      <x:c r="F19" s="1"/>
      <x:c r="G19" s="1"/>
      <x:c r="H19" s="1"/>
    </x:row>
    <x:row r="20">
      <x:c r="A20" s="1"/>
      <x:c r="B20" s="1" t="str">
        <x:v>最终整机单价与总研发费用尚不可计算；不得把开发套件价格当作单台手表 BOM。</x:v>
      </x:c>
      <x:c r="C20" s="1"/>
      <x:c r="D20" s="1"/>
      <x:c r="E20" s="1"/>
      <x:c r="F20" s="1"/>
      <x:c r="G20" s="1"/>
      <x:c r="H20" s="1"/>
    </x:row>
  </x:sheetData>
  <x:pageMargins left="0.7" right="0.7" top="0.75" bottom="0.75" header="0.3" footer="0.3"/>
  <x:tableParts count="1">
    <x:tablePart xmlns:r="http://schemas.openxmlformats.org/officeDocument/2006/relationships" r:id="R2e5b48c87509472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8799991607666" hidden="0" customWidth="1"/>
    <x:col min="2" max="2" width="15.630000114440918" hidden="0" customWidth="1"/>
    <x:col min="3" max="3" width="12.5" hidden="0" customWidth="1"/>
    <x:col min="4" max="4" width="37.5" hidden="0" customWidth="1"/>
    <x:col min="5" max="5" width="20" hidden="0" customWidth="1"/>
    <x:col min="6" max="6" width="16.25" hidden="0" customWidth="1"/>
  </x:cols>
  <x:sheetData>
    <x:row r="1" ht="24" customHeight="1">
      <x:c r="A1" s="29" t="str">
        <x:v>资源预算</x:v>
      </x:c>
      <x:c r="B1" s="28"/>
      <x:c r="C1" s="28"/>
      <x:c r="D1" s="28"/>
      <x:c r="E1" s="28"/>
      <x:c r="F1" s="28"/>
    </x:row>
    <x:row r="2" ht="24" customHeight="1">
      <x:c r="A2" s="30" t="str">
        <x:v>黄色为可修改假设；计算结果不是实测性能或续航承诺。</x:v>
      </x:c>
      <x:c r="B2" s="30"/>
      <x:c r="C2" s="30"/>
      <x:c r="D2" s="30"/>
      <x:c r="E2" s="30"/>
      <x:c r="F2" s="30"/>
    </x:row>
    <x:row r="3" ht="24" customHeight="1">
      <x:c r="A3" s="28"/>
      <x:c r="B3" s="28"/>
      <x:c r="C3" s="28"/>
      <x:c r="D3" s="28"/>
      <x:c r="E3" s="28"/>
      <x:c r="F3" s="28"/>
    </x:row>
    <x:row r="4" ht="28" customHeight="1">
      <x:c r="A4" s="9" t="str">
        <x:v>参数</x:v>
      </x:c>
      <x:c r="B4" s="9" t="str">
        <x:v>输入/结果</x:v>
      </x:c>
      <x:c r="C4" s="9" t="str">
        <x:v>单位</x:v>
      </x:c>
      <x:c r="D4" s="9" t="str">
        <x:v>含义</x:v>
      </x:c>
      <x:c r="E4" s="28"/>
      <x:c r="F4" s="28"/>
    </x:row>
    <x:row r="5" ht="36" customHeight="1">
      <x:c r="A5" s="42" t="str">
        <x:v>屏幕宽</x:v>
      </x:c>
      <x:c r="B5" s="43" t="n">
        <x:v>410</x:v>
      </x:c>
      <x:c r="C5" s="42" t="str">
        <x:v>pixel</x:v>
      </x:c>
      <x:c r="D5" s="42" t="str">
        <x:v>ET020 候选像素尺寸；S12</x:v>
      </x:c>
      <x:c r="E5" s="28"/>
      <x:c r="F5" s="28"/>
    </x:row>
    <x:row r="6" ht="36" customHeight="1">
      <x:c r="A6" s="42" t="str">
        <x:v>屏幕高</x:v>
      </x:c>
      <x:c r="B6" s="43" t="n">
        <x:v>502</x:v>
      </x:c>
      <x:c r="C6" s="42" t="str">
        <x:v>pixel</x:v>
      </x:c>
      <x:c r="D6" s="42" t="str">
        <x:v>ET020 候选像素尺寸；S12</x:v>
      </x:c>
      <x:c r="E6" s="28"/>
      <x:c r="F6" s="28"/>
    </x:row>
    <x:row r="7" ht="36" customHeight="1">
      <x:c r="A7" s="42" t="str">
        <x:v>目标刷新率</x:v>
      </x:c>
      <x:c r="B7" s="43" t="n">
        <x:v>60</x:v>
      </x:c>
      <x:c r="C7" s="42" t="str">
        <x:v>Hz</x:v>
      </x:c>
      <x:c r="D7" s="42" t="str">
        <x:v>工程目标，须最终屏幕实测</x:v>
      </x:c>
      <x:c r="E7" s="28"/>
      <x:c r="F7" s="28"/>
    </x:row>
    <x:row r="8" ht="36" customHeight="1">
      <x:c r="A8" s="42" t="str">
        <x:v>帧缓冲每像素字节</x:v>
      </x:c>
      <x:c r="B8" s="43" t="n">
        <x:v>4</x:v>
      </x:c>
      <x:c r="C8" s="42" t="str">
        <x:v>byte/pixel</x:v>
      </x:c>
      <x:c r="D8" s="42" t="str">
        <x:v>ARGB8888 假设</x:v>
      </x:c>
      <x:c r="E8" s="28"/>
      <x:c r="F8" s="28"/>
    </x:row>
    <x:row r="9" ht="36" customHeight="1">
      <x:c r="A9" s="42" t="str">
        <x:v>帧缓冲数量</x:v>
      </x:c>
      <x:c r="B9" s="43" t="n">
        <x:v>3</x:v>
      </x:c>
      <x:c r="C9" s="42" t="str">
        <x:v>frame</x:v>
      </x:c>
      <x:c r="D9" s="42" t="str">
        <x:v>仅帧缓冲；不含字体/纹理/系统</x:v>
      </x:c>
      <x:c r="E9" s="28"/>
      <x:c r="F9" s="28"/>
    </x:row>
    <x:row r="10" ht="36" customHeight="1">
      <x:c r="A10" s="42" t="str">
        <x:v>单帧字节数</x:v>
      </x:c>
      <x:c r="B10" s="44" t="n">
        <x:f>B5*B6*B8</x:f>
        <x:v>823280</x:v>
      </x:c>
      <x:c r="C10" s="42" t="str">
        <x:v>byte</x:v>
      </x:c>
      <x:c r="D10" s="42" t="str">
        <x:v>宽 × 高 × 每像素字节</x:v>
      </x:c>
      <x:c r="E10" s="28"/>
      <x:c r="F10" s="28"/>
    </x:row>
    <x:row r="11" ht="36" customHeight="1">
      <x:c r="A11" s="42" t="str">
        <x:v>三帧缓冲占用</x:v>
      </x:c>
      <x:c r="B11" s="45" t="n">
        <x:f>B10*B9/1048576</x:f>
        <x:v>2.3554229736328125</x:v>
      </x:c>
      <x:c r="C11" s="42" t="str">
        <x:v>MiB</x:v>
      </x:c>
      <x:c r="D11" s="42" t="str">
        <x:v>按输入帧数计算；1 MiB = 2^20 byte</x:v>
      </x:c>
      <x:c r="E11" s="28"/>
      <x:c r="F11" s="28"/>
    </x:row>
    <x:row r="12" ht="36" customHeight="1">
      <x:c r="A12" s="42" t="str">
        <x:v>线上每像素位数</x:v>
      </x:c>
      <x:c r="B12" s="43" t="n">
        <x:v>24</x:v>
      </x:c>
      <x:c r="C12" s="42" t="str">
        <x:v>bit/pixel</x:v>
      </x:c>
      <x:c r="D12" s="42" t="str">
        <x:v>RGB888 传输假设</x:v>
      </x:c>
      <x:c r="E12" s="28"/>
      <x:c r="F12" s="28"/>
    </x:row>
    <x:row r="13" ht="36" customHeight="1">
      <x:c r="A13" s="42" t="str">
        <x:v>原始全屏传输负载</x:v>
      </x:c>
      <x:c r="B13" s="46" t="n">
        <x:f>B5*B6*B7*B12/1000000</x:f>
        <x:v>296.3808</x:v>
      </x:c>
      <x:c r="C13" s="42" t="str">
        <x:v>Mbit/s</x:v>
      </x:c>
      <x:c r="D13" s="42" t="str">
        <x:v>不含命令、消隐等开销</x:v>
      </x:c>
      <x:c r="E13" s="28"/>
      <x:c r="F13" s="28"/>
    </x:row>
    <x:row r="14" ht="36" customHeight="1">
      <x:c r="A14" s="42" t="str">
        <x:v>规划余量</x:v>
      </x:c>
      <x:c r="B14" s="47" t="n">
        <x:v>0.2</x:v>
      </x:c>
      <x:c r="C14" s="42" t="str">
        <x:v>比例</x:v>
      </x:c>
      <x:c r="D14" s="42" t="str">
        <x:v>简单带宽规划系数；不是实际 DSI 效率</x:v>
      </x:c>
      <x:c r="E14" s="28"/>
      <x:c r="F14" s="28"/>
    </x:row>
    <x:row r="15" ht="36" customHeight="1">
      <x:c r="A15" s="42" t="str">
        <x:v>含余量的带宽需求</x:v>
      </x:c>
      <x:c r="B15" s="46" t="n">
        <x:f>B13*(1+B14)</x:f>
        <x:v>355.65696</x:v>
      </x:c>
      <x:c r="C15" s="42" t="str">
        <x:v>Mbit/s</x:v>
      </x:c>
      <x:c r="D15" s="42" t="str">
        <x:v>不能据此选 lane/时序，须检查手册</x:v>
      </x:c>
      <x:c r="E15" s="28"/>
      <x:c r="F15" s="28"/>
    </x:row>
    <x:row r="16" ht="36" customHeight="1">
      <x:c r="A16" s="42"/>
      <x:c r="B16" s="46"/>
      <x:c r="C16" s="42"/>
      <x:c r="D16" s="42"/>
      <x:c r="E16" s="28"/>
      <x:c r="F16" s="28"/>
    </x:row>
    <x:row r="17" ht="36" customHeight="1">
      <x:c r="A17" s="42" t="str">
        <x:v>电池容量假设</x:v>
      </x:c>
      <x:c r="B17" s="43" t="n">
        <x:v>500</x:v>
      </x:c>
      <x:c r="C17" s="42" t="str">
        <x:v>mAh</x:v>
      </x:c>
      <x:c r="D17" s="42" t="str">
        <x:v>最终电芯尺寸/容量未定</x:v>
      </x:c>
      <x:c r="E17" s="28"/>
      <x:c r="F17" s="28"/>
    </x:row>
    <x:row r="18" ht="36" customHeight="1">
      <x:c r="A18" s="42" t="str">
        <x:v>电池标称电压假设</x:v>
      </x:c>
      <x:c r="B18" s="48" t="n">
        <x:v>3.85</x:v>
      </x:c>
      <x:c r="C18" s="42" t="str">
        <x:v>V</x:v>
      </x:c>
      <x:c r="D18" s="42" t="str">
        <x:v>不是充电终止电压</x:v>
      </x:c>
      <x:c r="E18" s="28"/>
      <x:c r="F18" s="28"/>
    </x:row>
    <x:row r="19" ht="36" customHeight="1">
      <x:c r="A19" s="42" t="str">
        <x:v>可用能量系数</x:v>
      </x:c>
      <x:c r="B19" s="47" t="n">
        <x:v>0.85</x:v>
      </x:c>
      <x:c r="C19" s="42" t="str">
        <x:v>比例</x:v>
      </x:c>
      <x:c r="D19" s="42" t="str">
        <x:v>余量/截止/老化等简化假设</x:v>
      </x:c>
      <x:c r="E19" s="28"/>
      <x:c r="F19" s="28"/>
    </x:row>
    <x:row r="20" ht="36" customHeight="1">
      <x:c r="A20" s="42" t="str">
        <x:v>可用电池能量</x:v>
      </x:c>
      <x:c r="B20" s="46" t="n">
        <x:f>B17*B18*B19</x:f>
        <x:v>1636.25</x:v>
      </x:c>
      <x:c r="C20" s="42" t="str">
        <x:v>mWh</x:v>
      </x:c>
      <x:c r="D20" s="42" t="str">
        <x:v>所有系统功耗均以电池端口径计</x:v>
      </x:c>
      <x:c r="E20" s="28"/>
      <x:c r="F20" s="28"/>
    </x:row>
    <x:row r="21" ht="36" customHeight="1">
      <x:c r="A21" s="42" t="str">
        <x:v>目标工作时长</x:v>
      </x:c>
      <x:c r="B21" s="43" t="n">
        <x:v>24</x:v>
      </x:c>
      <x:c r="C21" s="42" t="str">
        <x:v>h</x:v>
      </x:c>
      <x:c r="D21" s="42" t="str">
        <x:v>第一轮设计目标</x:v>
      </x:c>
      <x:c r="E21" s="28"/>
      <x:c r="F21" s="28"/>
    </x:row>
    <x:row r="22" ht="36" customHeight="1">
      <x:c r="A22" s="42" t="str">
        <x:v>目标允许平均功耗</x:v>
      </x:c>
      <x:c r="B22" s="46" t="n">
        <x:f>B20/B21</x:f>
        <x:v>68.17708333333333</x:v>
      </x:c>
      <x:c r="C22" s="42" t="str">
        <x:v>mW</x:v>
      </x:c>
      <x:c r="D22" s="42" t="str">
        <x:v>可用能量 ÷ 目标工作时长</x:v>
      </x:c>
      <x:c r="E22" s="28"/>
      <x:c r="F22" s="28"/>
    </x:row>
    <x:row r="23" ht="36" customHeight="1">
      <x:c r="A23" s="42"/>
      <x:c r="B23" s="46"/>
      <x:c r="C23" s="42"/>
      <x:c r="D23" s="42"/>
      <x:c r="E23" s="28"/>
      <x:c r="F23" s="28"/>
    </x:row>
    <x:row r="24" ht="36" customHeight="1">
      <x:c r="A24" s="9" t="str">
        <x:v>情景平均功耗 (mW)</x:v>
      </x:c>
      <x:c r="B24" s="49" t="str">
        <x:v>计算时长</x:v>
      </x:c>
      <x:c r="C24" s="9" t="str">
        <x:v>单位</x:v>
      </x:c>
      <x:c r="D24" s="9" t="str">
        <x:v>假设敏感性，非预测</x:v>
      </x:c>
      <x:c r="E24" s="28"/>
      <x:c r="F24" s="28"/>
    </x:row>
    <x:row r="25" ht="36" customHeight="1">
      <x:c r="A25" s="50" t="n">
        <x:v>50</x:v>
      </x:c>
      <x:c r="B25" s="46" t="n">
        <x:f>$B$20/A25</x:f>
        <x:v>32.725</x:v>
      </x:c>
      <x:c r="C25" s="42" t="str">
        <x:v>h</x:v>
      </x:c>
      <x:c r="D25" s="42" t="str">
        <x:v>低平均负载假设</x:v>
      </x:c>
      <x:c r="E25" s="28"/>
      <x:c r="F25" s="28"/>
    </x:row>
    <x:row r="26" ht="36" customHeight="1">
      <x:c r="A26" s="50" t="n">
        <x:v>100</x:v>
      </x:c>
      <x:c r="B26" s="46" t="n">
        <x:f>$B$20/A26</x:f>
        <x:v>16.3625</x:v>
      </x:c>
      <x:c r="C26" s="42" t="str">
        <x:v>h</x:v>
      </x:c>
      <x:c r="D26" s="42" t="str">
        <x:v>中等平均负载假设</x:v>
      </x:c>
      <x:c r="E26" s="28"/>
      <x:c r="F26" s="28"/>
    </x:row>
    <x:row r="27" ht="36" customHeight="1">
      <x:c r="A27" s="50" t="n">
        <x:v>300</x:v>
      </x:c>
      <x:c r="B27" s="46" t="n">
        <x:f>$B$20/A27</x:f>
        <x:v>5.454166666666667</x:v>
      </x:c>
      <x:c r="C27" s="42" t="str">
        <x:v>h</x:v>
      </x:c>
      <x:c r="D27" s="42" t="str">
        <x:v>高平均负载假设</x:v>
      </x:c>
      <x:c r="E27" s="28"/>
      <x:c r="F27" s="28"/>
    </x:row>
    <x:row r="28" ht="36" customHeight="1">
      <x:c r="A28" s="42"/>
      <x:c r="B28" s="46"/>
      <x:c r="C28" s="42"/>
      <x:c r="D28" s="42"/>
      <x:c r="E28" s="28"/>
      <x:c r="F28" s="28"/>
    </x:row>
    <x:row r="29" ht="36" customHeight="1">
      <x:c r="A29" s="9" t="str">
        <x:v>资源项</x:v>
      </x:c>
      <x:c r="B29" s="49" t="str">
        <x:v>首轮预算</x:v>
      </x:c>
      <x:c r="C29" s="9" t="str">
        <x:v>单位</x:v>
      </x:c>
      <x:c r="D29" s="9" t="str">
        <x:v>说明</x:v>
      </x:c>
      <x:c r="E29" s="28"/>
      <x:c r="F29" s="28"/>
    </x:row>
    <x:row r="30" ht="36" customHeight="1">
      <x:c r="A30" s="42" t="str">
        <x:v>主 RAM</x:v>
      </x:c>
      <x:c r="B30" s="44" t="n">
        <x:v>2048</x:v>
      </x:c>
      <x:c r="C30" s="42" t="str">
        <x:v>MiB 近似配置</x:v>
      </x:c>
      <x:c r="D30" s="42" t="str">
        <x:v>2 GB 套件配置；实际可用容量由系统报告</x:v>
      </x:c>
      <x:c r="E30" s="28"/>
      <x:c r="F30" s="28"/>
    </x:row>
    <x:row r="31" ht="36" customHeight="1">
      <x:c r="A31" s="42" t="str">
        <x:v>自研 UI 峰值预算</x:v>
      </x:c>
      <x:c r="B31" s="43" t="n">
        <x:v>128</x:v>
      </x:c>
      <x:c r="C31" s="42" t="str">
        <x:v>MiB</x:v>
      </x:c>
      <x:c r="D31" s="42" t="str">
        <x:v>自定约束，不包括系统/第三方应用</x:v>
      </x:c>
      <x:c r="E31" s="28"/>
      <x:c r="F31" s="28"/>
    </x:row>
    <x:row r="32" ht="36" customHeight="1">
      <x:c r="A32" s="42" t="str">
        <x:v>主 eMMC</x:v>
      </x:c>
      <x:c r="B32" s="44" t="n">
        <x:v>32</x:v>
      </x:c>
      <x:c r="C32" s="42" t="str">
        <x:v>GB 标称</x:v>
      </x:c>
      <x:c r="D32" s="42" t="str">
        <x:v>沿用套件；分区由实际 BSP 冻结</x:v>
      </x:c>
      <x:c r="E32" s="28"/>
      <x:c r="F32" s="28"/>
    </x:row>
    <x:row r="33" ht="36" customHeight="1">
      <x:c r="A33" s="42" t="str">
        <x:v>应用包/资源验证集</x:v>
      </x:c>
      <x:c r="B33" s="43" t="n">
        <x:v>2</x:v>
      </x:c>
      <x:c r="C33" s="42" t="str">
        <x:v>GB 预算</x:v>
      </x:c>
      <x:c r="D33" s="42" t="str">
        <x:v>自定初值，量测后更新</x:v>
      </x:c>
      <x:c r="E33" s="28"/>
      <x:c r="F33" s="28"/>
    </x:row>
    <x:row r="34" ht="36" customHeight="1">
      <x:c r="A34" s="42" t="str">
        <x:v>协处理器 Flash</x:v>
      </x:c>
      <x:c r="B34" s="44" t="n">
        <x:v>32</x:v>
      </x:c>
      <x:c r="C34" s="42" t="str">
        <x:v>MB 配置</x:v>
      </x:c>
      <x:c r="D34" s="42" t="str">
        <x:v>套件参考；S03</x:v>
      </x:c>
      <x:c r="E34" s="28"/>
      <x:c r="F34" s="28"/>
    </x:row>
    <x:row r="35" ht="36" customHeight="1">
      <x:c r="A35" s="42" t="str">
        <x:v>协处理器 PSRAM</x:v>
      </x:c>
      <x:c r="B35" s="44" t="n">
        <x:v>8</x:v>
      </x:c>
      <x:c r="C35" s="42" t="str">
        <x:v>MB 配置</x:v>
      </x:c>
      <x:c r="D35" s="42" t="str">
        <x:v>套件参考；S03</x:v>
      </x:c>
      <x:c r="E35" s="28"/>
      <x:c r="F35" s="28"/>
    </x:row>
    <x:row r="36" ht="36" customHeight="1">
      <x:c r="A36" s="42"/>
      <x:c r="B36" s="42"/>
      <x:c r="C36" s="42"/>
      <x:c r="D36" s="42"/>
      <x:c r="E36" s="28"/>
      <x:c r="F36" s="28"/>
    </x:row>
    <x:row r="37" ht="36" customHeight="1">
      <x:c r="A37" s="9" t="str">
        <x:v>验证项</x:v>
      </x:c>
      <x:c r="B37" s="9"/>
      <x:c r="C37" s="9"/>
      <x:c r="D37" s="9" t="str">
        <x:v>执行方法</x:v>
      </x:c>
      <x:c r="E37" s="28"/>
      <x:c r="F37" s="28"/>
    </x:row>
    <x:row r="38" ht="65" customHeight="1">
      <x:c r="A38" s="42" t="str">
        <x:v>时钟/电源</x:v>
      </x:c>
      <x:c r="B38" s="42"/>
      <x:c r="C38" s="42"/>
      <x:c r="D38" s="42" t="str">
        <x:v>核对供应商时序；启动、休眠、弱网发射期间用示波器记录。</x:v>
      </x:c>
      <x:c r="E38" s="28"/>
      <x:c r="F38" s="28"/>
    </x:row>
    <x:row r="39" ht="65" customHeight="1">
      <x:c r="A39" s="42" t="str">
        <x:v>采样/中断</x:v>
      </x:c>
      <x:c r="B39" s="42"/>
      <x:c r="C39" s="42"/>
      <x:c r="D39" s="42" t="str">
        <x:v>测 FIFO、时间戳、丢样率；中断只通知任务，主机供数按固件规范。</x:v>
      </x:c>
      <x:c r="E39" s="28"/>
      <x:c r="F39" s="28"/>
    </x:row>
    <x:row r="40" ht="65" customHeight="1">
      <x:c r="A40" s="42" t="str">
        <x:v>内存/帧时延</x:v>
      </x:c>
      <x:c r="B40" s="42"/>
      <x:c r="C40" s="42"/>
      <x:c r="D40" s="42" t="str">
        <x:v>Android 工具记录 RSS/PSS、掉帧和温升；协处理器量测栈/堆高水位。</x:v>
      </x:c>
      <x:c r="E40" s="28"/>
      <x:c r="F40" s="28"/>
    </x:row>
    <x:row r="41" ht="65" customHeight="1">
      <x:c r="A41" s="42" t="str">
        <x:v>整机功耗</x:v>
      </x:c>
      <x:c r="B41" s="42"/>
      <x:c r="C41" s="42"/>
      <x:c r="D41" s="42" t="str">
        <x:v>测电池端波形；AOD、后台微信、GNSS、LTE 弱网和充电分场景复测。</x:v>
      </x:c>
      <x:c r="E41" s="28"/>
      <x:c r="F41" s="28"/>
    </x:row>
    <x:row r="42" ht="24" customHeight="1">
      <x:c r="A42" s="28"/>
      <x:c r="B42" s="28"/>
      <x:c r="C42" s="28"/>
      <x:c r="D42" s="28"/>
      <x:c r="E42" s="28"/>
      <x:c r="F42" s="28"/>
    </x:row>
  </x:sheetData>
  <x:dataValidations count="6">
    <x:dataValidation type="whole" operator="greaterThan" sqref="B5:B9">
      <x:formula1>0</x:formula1>
    </x:dataValidation>
    <x:dataValidation type="decimal" operator="greaterThan" sqref="B17">
      <x:formula1>0</x:formula1>
    </x:dataValidation>
    <x:dataValidation type="decimal" operator="greaterThan" sqref="B18">
      <x:formula1>0</x:formula1>
    </x:dataValidation>
    <x:dataValidation type="decimal" operator="greaterThan" sqref="B21">
      <x:formula1>0</x:formula1>
    </x:dataValidation>
    <x:dataValidation type="decimal" operator="between" sqref="B19">
      <x:formula1>0.01</x:formula1>
      <x:formula2>1</x:formula2>
    </x:dataValidation>
    <x:dataValidation type="decimal" operator="greaterThan" sqref="A25:A27">
      <x:formula1>0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.880000114440918" hidden="0" customWidth="1"/>
    <x:col min="2" max="2" width="21.25" hidden="0" customWidth="1"/>
    <x:col min="3" max="3" width="26.8799991607666" hidden="0" customWidth="1"/>
    <x:col min="4" max="4" width="23.1299991607666" hidden="0" customWidth="1"/>
    <x:col min="5" max="5" width="45" hidden="0" customWidth="1"/>
    <x:col min="6" max="6" width="38.75" hidden="0" customWidth="1"/>
    <x:col min="7" max="7" width="33.75" hidden="0" customWidth="1"/>
  </x:cols>
  <x:sheetData>
    <x:row r="1" ht="29" customHeight="1">
      <x:c r="A1" s="4" t="str">
        <x:v>推进计划</x:v>
      </x:c>
      <x:c r="B1" s="2"/>
      <x:c r="C1" s="2"/>
      <x:c r="D1" s="2"/>
      <x:c r="E1" s="2"/>
      <x:c r="F1" s="2"/>
      <x:c r="G1" s="2"/>
    </x:row>
    <x:row r="2" ht="22" customHeight="1">
      <x:c r="A2" s="6" t="str">
        <x:v>时间为工程估计，前提是资料和服务可取得；后续健康功能保留在路线中。</x:v>
      </x:c>
      <x:c r="B2" s="5"/>
      <x:c r="C2" s="5"/>
      <x:c r="D2" s="5"/>
      <x:c r="E2" s="5"/>
      <x:c r="F2" s="5"/>
      <x:c r="G2" s="5"/>
    </x:row>
    <x:row r="3">
      <x:c r="A3" s="2"/>
      <x:c r="B3" s="2"/>
      <x:c r="C3" s="2"/>
      <x:c r="D3" s="2"/>
      <x:c r="E3" s="2"/>
      <x:c r="F3" s="2"/>
      <x:c r="G3" s="2"/>
    </x:row>
    <x:row r="4" ht="32" customHeight="1">
      <x:c r="A4" s="10" t="str">
        <x:v>编号</x:v>
      </x:c>
      <x:c r="B4" s="11" t="str">
        <x:v>阶段</x:v>
      </x:c>
      <x:c r="C4" s="11" t="str">
        <x:v>开始条件/时间估计</x:v>
      </x:c>
      <x:c r="D4" s="11" t="str">
        <x:v>产出</x:v>
      </x:c>
      <x:c r="E4" s="11" t="str">
        <x:v>主要工作</x:v>
      </x:c>
      <x:c r="F4" s="11" t="str">
        <x:v>完成标准</x:v>
      </x:c>
      <x:c r="G4" s="12" t="str">
        <x:v>失败后的处理</x:v>
      </x:c>
    </x:row>
    <x:row r="5" ht="60.75" customHeight="1">
      <x:c r="A5" s="14" t="str">
        <x:v>G0</x:v>
      </x:c>
      <x:c r="B5" s="14" t="str">
        <x:v>完整功能定义</x:v>
      </x:c>
      <x:c r="C5" s="14" t="str">
        <x:v>当前完成</x:v>
      </x:c>
      <x:c r="D5" s="14" t="str">
        <x:v>1 个版本清单</x:v>
      </x:c>
      <x:c r="E5" s="14" t="str">
        <x:v>本表 F01–F17；约 46 mm，新硬件/新外壳；保留网络、官方应用和健康目标。</x:v>
      </x:c>
      <x:c r="F5" s="14" t="str">
        <x:v>Apple 专有服务与未验证能力有明确边界。</x:v>
      </x:c>
      <x:c r="G5" s="14" t="str">
        <x:v>不随 UI 原型结果自动缩减目标。</x:v>
      </x:c>
    </x:row>
    <x:row r="6" ht="60.75" customHeight="1">
      <x:c r="A6" s="16" t="str">
        <x:v>G1</x:v>
      </x:c>
      <x:c r="B6" s="16" t="str">
        <x:v>软件与服务可取得</x:v>
      </x:c>
      <x:c r="C6" s="16" t="str">
        <x:v>采购主平台前</x:v>
      </x:c>
      <x:c r="D6" s="16" t="str">
        <x:v>供应商回复 + 实机演示</x:v>
      </x:c>
      <x:c r="E6" s="16" t="str">
        <x:v>官方微信包来源/版本/ABI、当前 BSP、支付绑定、个人/小批项目接入、源码交付。</x:v>
      </x:c>
      <x:c r="F6" s="16" t="str">
        <x:v>计划交付镜像和自研设备条件下可用，保留应用更新路径。</x:v>
      </x:c>
      <x:c r="G6" s="16" t="str">
        <x:v>无法提供则更换平台/方案厂；不靠盲买硬件推进。</x:v>
      </x:c>
    </x:row>
    <x:row r="7" ht="60.75" customHeight="1">
      <x:c r="A7" s="14" t="str">
        <x:v>G2</x:v>
      </x:c>
      <x:c r="B7" s="14" t="str">
        <x:v>主系统台架</x:v>
      </x:c>
      <x:c r="C7" s="14" t="str">
        <x:v>G1 后，估计 2–4 周</x:v>
      </x:c>
      <x:c r="D7" s="14" t="str">
        <x:v>可刷机的开发套件</x:v>
      </x:c>
      <x:c r="E7" s="14" t="str">
        <x:v>Wi-Fi/LTE、VoLTE、音频、显示、应用安装与系统定制、断电恢复。</x:v>
      </x:c>
      <x:c r="F7" s="14" t="str">
        <x:v>日志完整；手机缺席时按要求联网；官方应用实测并记录限制。</x:v>
      </x:c>
      <x:c r="G7" s="14" t="str">
        <x:v>版本问题优先修 BSP；不用 GUI 截图替代运行证据。</x:v>
      </x:c>
    </x:row>
    <x:row r="8" ht="60.75" customHeight="1">
      <x:c r="A8" s="16" t="str">
        <x:v>G3</x:v>
      </x:c>
      <x:c r="B8" s="16" t="str">
        <x:v>UI 与健康原型</x:v>
      </x:c>
      <x:c r="C8" s="16" t="str">
        <x:v>G1 后，可与 G2 部分并行，估计 4–8 周</x:v>
      </x:c>
      <x:c r="D8" s="16" t="str">
        <x:v>交互 Demo + 原始 PPG/IMU 数据</x:v>
      </x:c>
      <x:c r="E8" s="16" t="str">
        <x:v>表冠、60 fps 目标、AOD、健康固件、光学窗和运动补偿。</x:v>
      </x:c>
      <x:c r="F8" s="16" t="str">
        <x:v>帧时延/功耗/信号质量均有记录；确认最终屏候选。</x:v>
      </x:c>
      <x:c r="G8" s="16" t="str">
        <x:v>界面资源可复用，LVGL 代码不能直接当成 Android SystemUI。</x:v>
      </x:c>
    </x:row>
    <x:row r="9" ht="60.75" customHeight="1">
      <x:c r="A9" s="14" t="str">
        <x:v>G4</x:v>
      </x:c>
      <x:c r="B9" s="14" t="str">
        <x:v>扩展板与结构样件</x:v>
      </x:c>
      <x:c r="C9" s="14" t="str">
        <x:v>G2/G3 后，估计 3–6 周</x:v>
      </x:c>
      <x:c r="D9" s="14" t="str">
        <x:v>载板/传感板 + 1:1 外壳样件</x:v>
      </x:c>
      <x:c r="E9" s="14" t="str">
        <x:v>接口、电压域、天线/电池/声腔/光学/排线尺寸。</x:v>
      </x:c>
      <x:c r="F9" s="14" t="str">
        <x:v>可合壳、无挤压；关键电路实测；电源峰值与热路径有余量。</x:v>
      </x:c>
      <x:c r="G9" s="14" t="str">
        <x:v>发现体积不足先调整堆叠，不直接压缩电池安全间隙。</x:v>
      </x:c>
    </x:row>
    <x:row r="10" ht="60.75" customHeight="1">
      <x:c r="A10" s="16" t="str">
        <x:v>G5</x:v>
      </x:c>
      <x:c r="B10" s="16" t="str">
        <x:v>紧凑整机 EVT</x:v>
      </x:c>
      <x:c r="C10" s="16" t="str">
        <x:v>G4 后，估计 5–10 周</x:v>
      </x:c>
      <x:c r="D10" s="16" t="str">
        <x:v>自研主板 + 新壳工程样机</x:v>
      </x:c>
      <x:c r="E10" s="16" t="str">
        <x:v>HDI PCB、供电、RF、显示切换、按键/音频/健康集成。</x:v>
      </x:c>
      <x:c r="F10" s="16" t="str">
        <x:v>可恢复刷机；完成全功能回归与封壳电流/温度记录。</x:v>
      </x:c>
      <x:c r="G10" s="16" t="str">
        <x:v>预留返板；不能仅凭裸板工作就宣布可佩戴交付。</x:v>
      </x:c>
    </x:row>
    <x:row r="11" ht="60.75" customHeight="1">
      <x:c r="A11" s="14" t="str">
        <x:v>G6</x:v>
      </x:c>
      <x:c r="B11" s="14" t="str">
        <x:v>日常使用验证</x:v>
      </x:c>
      <x:c r="C11" s="14" t="str">
        <x:v>G5 后，估计 6–12 周</x:v>
      </x:c>
      <x:c r="D11" s="14" t="str">
        <x:v>连续使用记录与问题修订</x:v>
      </x:c>
      <x:c r="E11" s="14" t="str">
        <x:v>后台收信、付款、弱网、GNSS、充电、佩戴舒适、防水与耐久。</x:v>
      </x:c>
      <x:c r="F11" s="14" t="str">
        <x:v>目标使用负载下达到 24 h；以实测替换预算。</x:v>
      </x:c>
      <x:c r="G11" s="14" t="str">
        <x:v>功能、续航、厚度取舍须据测试数据处理，不预先承诺 Apple 等效。</x:v>
      </x:c>
    </x:row>
    <x:row r="12" ht="60.75" customHeight="1">
      <x:c r="A12" s="16" t="str">
        <x:v>G7</x:v>
      </x:c>
      <x:c r="B12" s="16" t="str">
        <x:v>后续健康/服务</x:v>
      </x:c>
      <x:c r="C12" s="16" t="str">
        <x:v>与结构预留同步</x:v>
      </x:c>
      <x:c r="D12" s="16" t="str">
        <x:v>ECG、腕温、NFC 等专项记录</x:v>
      </x:c>
      <x:c r="E12" s="16" t="str">
        <x:v>逐项完成 F13/F14；睡眠/跌倒/疾病预警作为独立算法项目。</x:v>
      </x:c>
      <x:c r="F12" s="16" t="str">
        <x:v>每项都有硬件、算法、验证及服务条件；不以芯片功能替代整机验收。</x:v>
      </x:c>
      <x:c r="G12" s="16" t="str">
        <x:v>未通过的功能在版本清单中明确说明，不输出假正常数据。</x:v>
      </x:c>
    </x:row>
  </x:sheetData>
  <x:pageMargins left="0.7" right="0.7" top="0.75" bottom="0.75" header="0.3" footer="0.3"/>
  <x:tableParts count="1">
    <x:tablePart xmlns:r="http://schemas.openxmlformats.org/officeDocument/2006/relationships" r:id="R41ffc8fb4735475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.880000114440918" hidden="0" customWidth="1"/>
    <x:col min="2" max="2" width="33.130001068115234" hidden="0" customWidth="1"/>
    <x:col min="3" max="3" width="67.5" hidden="0" customWidth="1"/>
    <x:col min="4" max="4" width="53.130001068115234" hidden="0" customWidth="1"/>
    <x:col min="5" max="5" width="13.75" hidden="0" customWidth="1"/>
  </x:cols>
  <x:sheetData>
    <x:row r="1" ht="29" customHeight="1">
      <x:c r="A1" s="4" t="str">
        <x:v>资料来源</x:v>
      </x:c>
      <x:c r="B1" s="2"/>
      <x:c r="C1" s="2"/>
      <x:c r="D1" s="2"/>
      <x:c r="E1" s="2"/>
    </x:row>
    <x:row r="2" ht="22" customHeight="1">
      <x:c r="A2" s="6" t="str">
        <x:v>官方资料优先；产品页参数、工程假设与本机实测分开。当前无本机实测结果。</x:v>
      </x:c>
      <x:c r="B2" s="5"/>
      <x:c r="C2" s="5"/>
      <x:c r="D2" s="5"/>
      <x:c r="E2" s="5"/>
    </x:row>
    <x:row r="3">
      <x:c r="A3" s="2"/>
      <x:c r="B3" s="2"/>
      <x:c r="C3" s="2"/>
      <x:c r="D3" s="2"/>
      <x:c r="E3" s="2"/>
    </x:row>
    <x:row r="4" ht="32" customHeight="1">
      <x:c r="A4" s="10" t="str">
        <x:v>编号</x:v>
      </x:c>
      <x:c r="B4" s="11" t="str">
        <x:v>资料</x:v>
      </x:c>
      <x:c r="C4" s="11" t="str">
        <x:v>URL</x:v>
      </x:c>
      <x:c r="D4" s="11" t="str">
        <x:v>支持的内容与限制</x:v>
      </x:c>
      <x:c r="E4" s="12" t="str">
        <x:v>核查日期</x:v>
      </x:c>
    </x:row>
    <x:row r="5" ht="48" customHeight="1">
      <x:c r="A5" s="14" t="str">
        <x:v>S01</x:v>
      </x:c>
      <x:c r="B5" s="14" t="str">
        <x:v>Apple Watch Series 11 技术规格</x:v>
      </x:c>
      <x:c r="C5" s="14" t="str">
        <x:v>https://support.apple.com/en-la/125093</x:v>
      </x:c>
      <x:c r="D5" s="14" t="str">
        <x:v>用于产品参照；不据此推断内部显示总线或自研产品性能。</x:v>
      </x:c>
      <x:c r="E5" s="51" t="n">
        <x:v>46276</x:v>
      </x:c>
    </x:row>
    <x:row r="6" ht="76.5" customHeight="1">
      <x:c r="A6" s="16" t="str">
        <x:v>S02</x:v>
      </x:c>
      <x:c r="B6" s="16" t="str">
        <x:v>Qualcomm W5/W5+ Gen 1 产品简报</x:v>
      </x:c>
      <x:c r="C6" s="16" t="str">
        <x:v>https://www.qualcomm.com/content/dam/qcomm-martech/dm-assets/documents/Snapdragon-W5-Plus-Gen-1-Wearable-Platforms-product-brief.pdf</x:v>
      </x:c>
      <x:c r="D6" s="16" t="str">
        <x:v>SW5100、QCC5100、PMW5100，主核 DSI / 协处理器 QSPI；AOSP/Wear OS 是平台支持范围。</x:v>
      </x:c>
      <x:c r="E6" s="52" t="n">
        <x:v>46276</x:v>
      </x:c>
    </x:row>
    <x:row r="7" ht="60.75" customHeight="1">
      <x:c r="A7" s="14" t="str">
        <x:v>S03</x:v>
      </x:c>
      <x:c r="B7" s="14" t="str">
        <x:v>Thundercomm TurboX W5+ 开发套件</x:v>
      </x:c>
      <x:c r="C7" s="14" t="str">
        <x:v>https://www.thundercomm.com/zh/product/w5-development-kit/</x:v>
      </x:c>
      <x:c r="D7" s="14" t="str">
        <x:v>公开配置与页面标价 USD 1,999；页面仍写 Android R/S (TBD)/Go；私有资料交付须确认。</x:v>
      </x:c>
      <x:c r="E7" s="51" t="n">
        <x:v>46276</x:v>
      </x:c>
    </x:row>
    <x:row r="8" ht="60.75" customHeight="1">
      <x:c r="A8" s="16" t="str">
        <x:v>S04</x:v>
      </x:c>
      <x:c r="B8" s="16" t="str">
        <x:v>UNISOC W377E 产品页</x:v>
      </x:c>
      <x:c r="C8" s="16" t="str">
        <x:v>https://www.unisoc.com/en/product/SmartWearablesUS/W377E</x:v>
      </x:c>
      <x:c r="D8" s="16" t="str">
        <x:v>4×A53 1.4 GHz、MIPI、LTE Cat.4；页面软件段含 W337/Android 8.1 文案，存在版本核实需求。</x:v>
      </x:c>
      <x:c r="E8" s="52" t="n">
        <x:v>46276</x:v>
      </x:c>
    </x:row>
    <x:row r="9" ht="60.75" customHeight="1">
      <x:c r="A9" s="14" t="str">
        <x:v>S05</x:v>
      </x:c>
      <x:c r="B9" s="14" t="str">
        <x:v>SiFli SDK</x:v>
      </x:c>
      <x:c r="C9" s="14" t="str">
        <x:v>https://github.com/OpenSiFli/SiFli-SDK</x:v>
      </x:c>
      <x:c r="D9" s="14" t="str">
        <x:v>RT-Thread 路线；不提供直接运行 Android APK 或 watchOS 应用的证明。</x:v>
      </x:c>
      <x:c r="E9" s="51" t="n">
        <x:v>46276</x:v>
      </x:c>
    </x:row>
    <x:row r="10" ht="60.75" customHeight="1">
      <x:c r="A10" s="16" t="str">
        <x:v>S06</x:v>
      </x:c>
      <x:c r="B10" s="16" t="str">
        <x:v>OPPO Watch X 功能与脚注</x:v>
      </x:c>
      <x:c r="C10" s="16" t="str">
        <x:v>https://www.oppo.com/cn/accessories/oppo-watch-x/</x:v>
      </x:c>
      <x:c r="D10" s="16" t="str">
        <x:v>官方微信独立使用案例；脚注要求 A.59+ 系统、手机微信 8.0.48+，仅全智能模式。仅对该产品有效。</x:v>
      </x:c>
      <x:c r="E10" s="52" t="n">
        <x:v>46276</x:v>
      </x:c>
    </x:row>
    <x:row r="11" ht="60.75" customHeight="1">
      <x:c r="A11" s="14" t="str">
        <x:v>S07</x:v>
      </x:c>
      <x:c r="B11" s="14" t="str">
        <x:v>OPPO Watch X 参数</x:v>
      </x:c>
      <x:c r="C11" s="14" t="str">
        <x:v>https://www.oppo.com/cn/accessories/oppo-watch-x/specs/</x:v>
      </x:c>
      <x:c r="D11" s="14" t="str">
        <x:v>2 GB + 32 GB 商业产品参照；不能证明自研板兼容其应用。</x:v>
      </x:c>
      <x:c r="E11" s="51" t="n">
        <x:v>46276</x:v>
      </x:c>
    </x:row>
    <x:row r="12" ht="60.75" customHeight="1">
      <x:c r="A12" s="16" t="str">
        <x:v>S08</x:v>
      </x:c>
      <x:c r="B12" s="16" t="str">
        <x:v>Google Mobile Services</x:v>
      </x:c>
      <x:c r="C12" s="16" t="str">
        <x:v>https://www.android.com/gms/</x:v>
      </x:c>
      <x:c r="D12" s="16" t="str">
        <x:v>GMS 不属于 AOSP；有 Android BSP 不等于取得 Google Play / Wear OS 商业分发条件。</x:v>
      </x:c>
      <x:c r="E12" s="52" t="n">
        <x:v>46276</x:v>
      </x:c>
    </x:row>
    <x:row r="13" ht="60.75" customHeight="1">
      <x:c r="A13" s="14" t="str">
        <x:v>S09</x:v>
      </x:c>
      <x:c r="B13" s="14" t="str">
        <x:v>Apple Developer Program 协议</x:v>
      </x:c>
      <x:c r="C13" s="14" t="str">
        <x:v>https://developer.apple.com/support/terms/apple-developer-program-license-agreement/</x:v>
      </x:c>
      <x:c r="D13" s="14" t="str">
        <x:v>Apple SDK 与系统面向 Apple 设备；本方案不以移植原版 watchOS 为实现路径。</x:v>
      </x:c>
      <x:c r="E13" s="51" t="n">
        <x:v>46276</x:v>
      </x:c>
    </x:row>
    <x:row r="14" ht="60.75" customHeight="1">
      <x:c r="A14" s="16" t="str">
        <x:v>S10</x:v>
      </x:c>
      <x:c r="B14" s="16" t="str">
        <x:v>荣耀手表微信支付说明</x:v>
      </x:c>
      <x:c r="C14" s="16" t="str">
        <x:v>https://www.honor.com/cn/support/content/zh-cn15846628/</x:v>
      </x:c>
      <x:c r="D14" s="16" t="str">
        <x:v>绑定穿戴设备后显示支付码；消费者手表支付与商户收款 API 不同。</x:v>
      </x:c>
      <x:c r="E14" s="52" t="n">
        <x:v>46276</x:v>
      </x:c>
    </x:row>
    <x:row r="15" ht="60.75" customHeight="1">
      <x:c r="A15" s="14" t="str">
        <x:v>S11</x:v>
      </x:c>
      <x:c r="B15" s="14" t="str">
        <x:v>vivo WATCH 2 功能说明</x:v>
      </x:c>
      <x:c r="C15" s="14" t="str">
        <x:v>https://www.vivo.com.cn/vivo/vivowatch2/</x:v>
      </x:c>
      <x:c r="D15" s="14" t="str">
        <x:v>不同产品微信能力有差异；该产品微信手表版要求 Android 手机并保持蓝牙连接。</x:v>
      </x:c>
      <x:c r="E15" s="51" t="n">
        <x:v>46276</x:v>
      </x:c>
    </x:row>
    <x:row r="16" ht="60.75" customHeight="1">
      <x:c r="A16" s="16" t="str">
        <x:v>S12</x:v>
      </x:c>
      <x:c r="B16" s="16" t="str">
        <x:v>奥视特 ET020AM03-HT</x:v>
      </x:c>
      <x:c r="C16" s="16" t="str">
        <x:v>https://www.aoshite.net/productView1_1975.html</x:v>
      </x:c>
      <x:c r="D16" s="16" t="str">
        <x:v>410×502、31 pin MIPI、800 nit、33.07×41.05 mm 为厂商标称；尚缺正式时序/初始化/供货确认。</x:v>
      </x:c>
      <x:c r="E16" s="52" t="n">
        <x:v>46276</x:v>
      </x:c>
    </x:row>
    <x:row r="17" ht="60.75" customHeight="1">
      <x:c r="A17" s="14" t="str">
        <x:v>S13</x:v>
      </x:c>
      <x:c r="B17" s="14" t="str">
        <x:v>ADI MAXM86146</x:v>
      </x:c>
      <x:c r="C17" s="14" t="str">
        <x:v>https://www.analog.com/en/products/maxm86146.html</x:v>
      </x:c>
      <x:c r="D17" s="14" t="str">
        <x:v>集成 MAX86141、MAX32664C、双光电二极管；仍需外部 LED、加速度数据和算法固件。</x:v>
      </x:c>
      <x:c r="E17" s="51" t="n">
        <x:v>46276</x:v>
      </x:c>
    </x:row>
    <x:row r="18" ht="60.75" customHeight="1">
      <x:c r="A18" s="16" t="str">
        <x:v>S14</x:v>
      </x:c>
      <x:c r="B18" s="16" t="str">
        <x:v>ADI MAXM86146EVSYS</x:v>
      </x:c>
      <x:c r="C18" s="16" t="str">
        <x:v>https://www.analog.com/en/resources/evaluation-hardware-and-software/evaluation-boards-kits/maxm86146evsys.html</x:v>
      </x:c>
      <x:c r="D18" s="16" t="str">
        <x:v>提供评估板、设计文件、GUI 与固件条目；库存及实际下载资格未核实。</x:v>
      </x:c>
      <x:c r="E18" s="52" t="n">
        <x:v>46276</x:v>
      </x:c>
    </x:row>
    <x:row r="19" ht="60.75" customHeight="1">
      <x:c r="A19" s="14" t="str">
        <x:v>S15</x:v>
      </x:c>
      <x:c r="B19" s="14" t="str">
        <x:v>MAXM86146EVSYS Rev.1 手册</x:v>
      </x:c>
      <x:c r="C19" s="14" t="str">
        <x:v>https://www.analog.com/media/en/technical-documentation/data-sheets/maxm86146evsys.pdf</x:v>
      </x:c>
      <x:c r="D19" s="14" t="str">
        <x:v>第 13、25 页：SFH 7015、两颗绿光 LED、MAX14689、参考光学/电路连接。</x:v>
      </x:c>
      <x:c r="E19" s="51" t="n">
        <x:v>46276</x:v>
      </x:c>
    </x:row>
    <x:row r="20" ht="60.75" customHeight="1">
      <x:c r="A20" s="16" t="str">
        <x:v>S16</x:v>
      </x:c>
      <x:c r="B20" s="16" t="str">
        <x:v>ADI 加速度计兼容性 FAQ</x:v>
      </x:c>
      <x:c r="C20" s="16" t="str">
        <x:v>https://ez.analog.com/other-products/a/documents/do21669/what-accelerometers-are-supported-by-the-max32664c-firmware</x:v>
      </x:c>
      <x:c r="D20" s="16" t="str">
        <x:v>直接驱动 KX122/LIS2DS12，或由主机送入加速度样本；新 IMU 不能假设即插即用。</x:v>
      </x:c>
      <x:c r="E20" s="52" t="n">
        <x:v>46276</x:v>
      </x:c>
    </x:row>
    <x:row r="21" ht="60.75" customHeight="1">
      <x:c r="A21" s="14" t="str">
        <x:v>S17</x:v>
      </x:c>
      <x:c r="B21" s="14" t="str">
        <x:v>ST LSM6DSO</x:v>
      </x:c>
      <x:c r="C21" s="14" t="str">
        <x:v>https://www.st.com/en/mems-and-sensors/lsm6dso.html</x:v>
      </x:c>
      <x:c r="D21" s="14" t="str">
        <x:v>在产六轴 IMU，2.5×3×0.83 mm；功耗须按实际采样模式测量。</x:v>
      </x:c>
      <x:c r="E21" s="51" t="n">
        <x:v>46276</x:v>
      </x:c>
    </x:row>
    <x:row r="22" ht="48" customHeight="1">
      <x:c r="A22" s="16" t="str">
        <x:v>S18</x:v>
      </x:c>
      <x:c r="B22" s="16" t="str">
        <x:v>ST LIS2DS12 生命周期</x:v>
      </x:c>
      <x:c r="C22" s="16" t="str">
        <x:v>https://www.st.com/en/mems-and-sensors/lis2ds12.html</x:v>
      </x:c>
      <x:c r="D22" s="16" t="str">
        <x:v>官方列为 Obsolete；其推荐替代品不代表兼容 ADI 固件。</x:v>
      </x:c>
      <x:c r="E22" s="52" t="n">
        <x:v>46276</x:v>
      </x:c>
    </x:row>
    <x:row r="23" ht="48" customHeight="1">
      <x:c r="A23" s="14" t="str">
        <x:v>S19</x:v>
      </x:c>
      <x:c r="B23" s="14" t="str">
        <x:v>ADI MAX32664</x:v>
      </x:c>
      <x:c r="C23" s="14" t="str">
        <x:v>https://www.analog.com/en/products/max32664.html</x:v>
      </x:c>
      <x:c r="D23" s="14" t="str">
        <x:v>C 版本腕式心率/血氧；不同固件版本需匹配传感器组合。</x:v>
      </x:c>
      <x:c r="E23" s="51" t="n">
        <x:v>46276</x:v>
      </x:c>
    </x:row>
    <x:row r="24" ht="60.75" customHeight="1">
      <x:c r="A24" s="16" t="str">
        <x:v>S20</x:v>
      </x:c>
      <x:c r="B24" s="16" t="str">
        <x:v>ADI MAXREFDES105</x:v>
      </x:c>
      <x:c r="C24" s="16" t="str">
        <x:v>https://www.analog.com/cn/resources/reference-designs/maxrefdes105.html</x:v>
      </x:c>
      <x:c r="D24" s="16" t="str">
        <x:v>MAX86174A + MAX32664C 备选；页面标价 USD 326.08；软件/资料需 NDA 审核，申请不保证获批。</x:v>
      </x:c>
      <x:c r="E24" s="52" t="n">
        <x:v>46276</x:v>
      </x:c>
    </x:row>
    <x:row r="25" ht="60.75" customHeight="1">
      <x:c r="A25" s="14" t="str">
        <x:v>S21</x:v>
      </x:c>
      <x:c r="B25" s="14" t="str">
        <x:v>TI DRV2605L</x:v>
      </x:c>
      <x:c r="C25" s="14" t="str">
        <x:v>https://www.ti.com/product/DRV2605L</x:v>
      </x:c>
      <x:c r="D25" s="14" t="str">
        <x:v>LRA/ERM 闭环触觉驱动；最终触感取决于马达、结构及调校。</x:v>
      </x:c>
      <x:c r="E25" s="51" t="n">
        <x:v>46276</x:v>
      </x:c>
    </x:row>
    <x:row r="26" ht="60.75" customHeight="1">
      <x:c r="A26" s="16" t="str">
        <x:v>S22</x:v>
      </x:c>
      <x:c r="B26" s="16" t="str">
        <x:v>ams OSRAM SFH 7015</x:v>
      </x:c>
      <x:c r="C26" s="16" t="str">
        <x:v>https://ams-osram.com/products/leds/multi-color-leds/osram-multi-chip-led-sfh-7015</x:v>
      </x:c>
      <x:c r="D26" s="16" t="str">
        <x:v>655 nm 红光 + 940 nm 红外，2×0.8×0.6 mm，页面列为 Full production。</x:v>
      </x:c>
      <x:c r="E26" s="52" t="n">
        <x:v>46276</x:v>
      </x:c>
    </x:row>
    <x:row r="27" ht="60.75" customHeight="1">
      <x:c r="A27" s="14" t="str">
        <x:v>S23</x:v>
      </x:c>
      <x:c r="B27" s="14" t="str">
        <x:v>ams OSRAM CT DBLP31.12 数据手册</x:v>
      </x:c>
      <x:c r="C27" s="14" t="str">
        <x:v>https://look.ams-osram.com/m/7a84e13abf7bd695/original/CT-DBLP31-12.pdf</x:v>
      </x:c>
      <x:c r="D27" s="14" t="str">
        <x:v>绿光 LED 系列；参考板使用的完整分档尾码需再确认供货与光学一致性。</x:v>
      </x:c>
      <x:c r="E27" s="51" t="n">
        <x:v>46276</x:v>
      </x:c>
    </x:row>
    <x:row r="28" ht="48" customHeight="1">
      <x:c r="A28" s="16" t="str">
        <x:v>S24</x:v>
      </x:c>
      <x:c r="B28" s="16" t="str">
        <x:v>ADI MAX30003</x:v>
      </x:c>
      <x:c r="C28" s="16" t="str">
        <x:v>https://www.analog.com/en/products/max30003.html</x:v>
      </x:c>
      <x:c r="D28" s="16" t="str">
        <x:v>单通道 ECG AFE；不直接提供 Apple 的诊断/预警算法。</x:v>
      </x:c>
      <x:c r="E28" s="52" t="n">
        <x:v>46276</x:v>
      </x:c>
    </x:row>
    <x:row r="29" ht="60.75" customHeight="1">
      <x:c r="A29" s="14" t="str">
        <x:v>S25</x:v>
      </x:c>
      <x:c r="B29" s="14" t="str">
        <x:v>TI TMP117</x:v>
      </x:c>
      <x:c r="C29" s="14" t="str">
        <x:v>https://www.ti.com/product/TMP117</x:v>
      </x:c>
      <x:c r="D29" s="14" t="str">
        <x:v>温度传感器；封装温度精度不能等同腕部核心体温测量精度。</x:v>
      </x:c>
      <x:c r="E29" s="51" t="n">
        <x:v>46276</x:v>
      </x:c>
    </x:row>
    <x:row r="30" ht="60.75" customHeight="1">
      <x:c r="A30" s="16" t="str">
        <x:v>S26</x:v>
      </x:c>
      <x:c r="B30" s="16" t="str">
        <x:v>Bosch BMP390</x:v>
      </x:c>
      <x:c r="C30" s="16" t="str">
        <x:v>https://www.bosch-sensortec.com/en/products/environmental-sensors/pressure-sensors/bmp390</x:v>
      </x:c>
      <x:c r="D30" s="16" t="str">
        <x:v>气压/相对高度测量候选，需气孔和环境补偿。</x:v>
      </x:c>
      <x:c r="E30" s="52" t="n">
        <x:v>46276</x:v>
      </x:c>
    </x:row>
    <x:row r="31" ht="76.5" customHeight="1">
      <x:c r="A31" s="14" t="str">
        <x:v>S27</x:v>
      </x:c>
      <x:c r="B31" s="14" t="str">
        <x:v>Apple ANCS 规范</x:v>
      </x:c>
      <x:c r="C31" s="14" t="str">
        <x:v>https://developer.apple.com/library/archive/documentation/CoreBluetooth/Reference/AppleNotificationCenterServiceSpecification/Specification/Specification.html</x:v>
      </x:c>
      <x:c r="D31" s="14" t="str">
        <x:v>授权后读取 iOS 通知；不能据此实现完整微信聊天。</x:v>
      </x:c>
      <x:c r="E31" s="51" t="n">
        <x:v>46276</x:v>
      </x:c>
    </x:row>
    <x:row r="32" ht="60.75" customHeight="1">
      <x:c r="A32" s="16" t="str">
        <x:v>S28</x:v>
      </x:c>
      <x:c r="B32" s="16" t="str">
        <x:v>Android NotificationListenerService</x:v>
      </x:c>
      <x:c r="C32" s="16" t="str">
        <x:v>https://developer.android.com/reference/android/service/notification/NotificationListenerService</x:v>
      </x:c>
      <x:c r="D32" s="16" t="str">
        <x:v>手机伴随 App 的通知访问能力；需用户授权。</x:v>
      </x:c>
      <x:c r="E32" s="52" t="n">
        <x:v>46276</x:v>
      </x:c>
    </x:row>
    <x:row r="33" ht="48" customHeight="1">
      <x:c r="A33" s="14" t="str">
        <x:v>S29</x:v>
      </x:c>
      <x:c r="B33" s="14" t="str">
        <x:v>TI OPT3001</x:v>
      </x:c>
      <x:c r="C33" s="14" t="str">
        <x:v>https://www.ti.com/product/OPT3001</x:v>
      </x:c>
      <x:c r="D33" s="14" t="str">
        <x:v>环境光传感器，用于自动亮度候选。</x:v>
      </x:c>
      <x:c r="E33" s="51" t="n">
        <x:v>46276</x:v>
      </x:c>
    </x:row>
    <x:row r="34" ht="60.75" customHeight="1">
      <x:c r="A34" s="16" t="str">
        <x:v>S30</x:v>
      </x:c>
      <x:c r="B34" s="16" t="str">
        <x:v>Bosch BMM350</x:v>
      </x:c>
      <x:c r="C34" s="16" t="str">
        <x:v>https://www.bosch-sensortec.com/en/products/motion-sensors/magnetometers/bmm350</x:v>
      </x:c>
      <x:c r="D34" s="16" t="str">
        <x:v>磁力计候选；磁吸充电、扬声器和 LRA 都会影响校准。</x:v>
      </x:c>
      <x:c r="E34" s="52" t="n">
        <x:v>46276</x:v>
      </x:c>
    </x:row>
    <x:row r="35" ht="60.75" customHeight="1">
      <x:c r="A35" s="14" t="str">
        <x:v>S31</x:v>
      </x:c>
      <x:c r="B35" s="14" t="str">
        <x:v>NXP PN7160</x:v>
      </x:c>
      <x:c r="C35" s="14" t="str">
        <x:v>https://www.nxp.com/products/PN7160</x:v>
      </x:c>
      <x:c r="D35" s="14" t="str">
        <x:v>说明通用 NFC 控制器并不自动具备银行卡支付能力；不将此器件列为支付方案。</x:v>
      </x:c>
      <x:c r="E35" s="51" t="n">
        <x:v>46276</x:v>
      </x:c>
    </x:row>
  </x:sheetData>
  <x:pageMargins left="0.7" right="0.7" top="0.75" bottom="0.75" header="0.3" footer="0.3"/>
  <x:tableParts count="1">
    <x:tablePart xmlns:r="http://schemas.openxmlformats.org/officeDocument/2006/relationships" r:id="R5ffb8adbfaf54759"/>
  </x:tableParts>
</x:worksheet>
</file>