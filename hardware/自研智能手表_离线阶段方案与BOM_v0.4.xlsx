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ae28dcd82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方案" sheetId="1" r:id="Rd011d32736654c5e"/>
    <x:sheet xmlns:r="http://schemas.openxmlformats.org/officeDocument/2006/relationships" name="开发采购" sheetId="2" r:id="R4a2a324c6ab9476a"/>
    <x:sheet xmlns:r="http://schemas.openxmlformats.org/officeDocument/2006/relationships" name="整机候选" sheetId="3" r:id="R4c3a00dcbb2d484b"/>
    <x:sheet xmlns:r="http://schemas.openxmlformats.org/officeDocument/2006/relationships" name="资源预算" sheetId="4" r:id="R921be788f1484f41"/>
    <x:sheet xmlns:r="http://schemas.openxmlformats.org/officeDocument/2006/relationships" name="资料来源" sheetId="5" r:id="R71a5cc3d5d3c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#,##0"/>
    <x:numFmt numFmtId="203" formatCode="0%"/>
  </x:numFmts>
  <x:fonts count="5">
    <x:font>
      <x:sz val="11"/>
      <x:name val="Carlito"/>
    </x:font>
    <x:font>
      <x:sz val="11"/>
      <x:color rgb="FF1D2733"/>
      <x:name val="Arial"/>
    </x:font>
    <x:font>
      <x:b/>
      <x:sz val="17"/>
      <x:color rgb="FF1D2733"/>
      <x:name val="Arial"/>
    </x:font>
    <x:font>
      <x:sz val="10"/>
      <x:color rgb="FF5D6A79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84665"/>
      </x:patternFill>
    </x:fill>
    <x:fill>
      <x:patternFill patternType="solid">
        <x:fgColor rgb="FFF1F4F8"/>
      </x:patternFill>
    </x:fill>
    <x:fill>
      <x:patternFill patternType="solid">
        <x:fgColor rgb="FFFFFFFF"/>
      </x:patternFill>
    </x:fill>
    <x:fill>
      <x:patternFill patternType="solid">
        <x:fgColor rgb="FFFFF3CC"/>
      </x:patternFill>
    </x:fill>
  </x:fills>
  <x:borders count="2">
    <x:border/>
    <x:border>
      <x:bottom style="thin">
        <x:color rgb="FFD7DEE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4" fillId="2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448b89ee147a8" /><Relationship Type="http://schemas.openxmlformats.org/officeDocument/2006/relationships/theme" Target="/xl/theme/theme1.xml" Id="R97976286057c4926" /><Relationship Type="http://schemas.openxmlformats.org/officeDocument/2006/relationships/sharedStrings" Target="/xl/sharedStrings.xml" Id="R90d65797e710432b" /><Relationship Type="http://schemas.openxmlformats.org/officeDocument/2006/relationships/worksheet" Target="/xl/worksheets/sheet1.xml" Id="Rd011d32736654c5e" /><Relationship Type="http://schemas.openxmlformats.org/officeDocument/2006/relationships/worksheet" Target="/xl/worksheets/sheet2.xml" Id="R4a2a324c6ab9476a" /><Relationship Type="http://schemas.openxmlformats.org/officeDocument/2006/relationships/worksheet" Target="/xl/worksheets/sheet3.xml" Id="R4c3a00dcbb2d484b" /><Relationship Type="http://schemas.openxmlformats.org/officeDocument/2006/relationships/worksheet" Target="/xl/worksheets/sheet4.xml" Id="R921be788f1484f41" /><Relationship Type="http://schemas.openxmlformats.org/officeDocument/2006/relationships/worksheet" Target="/xl/worksheets/sheet5.xml" Id="R71a5cc3d5d3c48ae" /></Relationships>
</file>

<file path=xl/tables/table1.xml><?xml version="1.0" encoding="utf-8"?>
<x:table xmlns:x="http://schemas.openxmlformats.org/spreadsheetml/2006/main" id="1" name="Offline1" displayName="Offline1" ref="A4:E14" headerRowCount="1" totalsRowCount="0" totalsRowShown="0">
  <x:tableColumns count="5">
    <x:tableColumn id="1" name="编号"/>
    <x:tableColumn id="2" name="模块"/>
    <x:tableColumn id="3" name="本阶段安排"/>
    <x:tableColumn id="4" name="实现内容"/>
    <x:tableColumn id="5" name="边界与验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line2" displayName="Offline2" ref="A4:G12" headerRowCount="1" totalsRowCount="0" totalsRowShown="0">
  <x:tableColumns count="7">
    <x:tableColumn id="1" name="编号"/>
    <x:tableColumn id="2" name="项目"/>
    <x:tableColumn id="3" name="数量"/>
    <x:tableColumn id="4" name="批次"/>
    <x:tableColumn id="5" name="采购前确认"/>
    <x:tableColumn id="6" name="价格与说明"/>
    <x:tableColumn id="7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ffline3" displayName="Offline3" ref="A4:G26" headerRowCount="1" totalsRowCount="0" totalsRowShown="0">
  <x:tableColumns count="7">
    <x:tableColumn id="1" name="编号"/>
    <x:tableColumn id="2" name="功能"/>
    <x:tableColumn id="3" name="候选器件/方案"/>
    <x:tableColumn id="4" name="数量"/>
    <x:tableColumn id="5" name="设计选择"/>
    <x:tableColumn id="6" name="验证/装配条件"/>
    <x:tableColumn id="7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ffline5" displayName="Offline5" ref="A4:D19" headerRowCount="1" totalsRowCount="0" totalsRowShown="0">
  <x:tableColumns count="4">
    <x:tableColumn id="1" name="编号"/>
    <x:tableColumn id="2" name="资料"/>
    <x:tableColumn id="3" name="链接/出处"/>
    <x:tableColumn id="4" name="核实范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447566b5c343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2812dd70e842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1a6645dd594b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c2ec5d6e2f476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880000114440918" hidden="0" customWidth="1"/>
    <x:col min="2" max="2" width="15.630000114440918" hidden="0" customWidth="1"/>
    <x:col min="3" max="3" width="16.8799991607666" hidden="0" customWidth="1"/>
    <x:col min="4" max="4" width="48.75" hidden="0" customWidth="1"/>
    <x:col min="5" max="5" width="48.75" hidden="0" customWidth="1"/>
  </x:cols>
  <x:sheetData>
    <x:row r="1" ht="29" customHeight="1">
      <x:c r="A1" s="5" t="str">
        <x:v>阶段方案</x:v>
      </x:c>
      <x:c r="B1" s="3"/>
      <x:c r="C1" s="3"/>
      <x:c r="D1" s="3"/>
      <x:c r="E1" s="3"/>
    </x:row>
    <x:row r="2">
      <x:c r="A2" s="7" t="str">
        <x:v>v0.4 · 离线第一阶段；完整网络/应用路线推迟，健康测量仍保留。</x:v>
      </x:c>
      <x:c r="B2" s="8"/>
      <x:c r="C2" s="8"/>
      <x:c r="D2" s="8"/>
      <x:c r="E2" s="8"/>
    </x:row>
    <x:row r="3">
      <x:c r="A3" s="3"/>
      <x:c r="B3" s="3"/>
      <x:c r="C3" s="3"/>
      <x:c r="D3" s="3"/>
      <x:c r="E3" s="3"/>
    </x:row>
    <x:row r="4" ht="32" customHeight="1">
      <x:c r="A4" s="11" t="str">
        <x:v>编号</x:v>
      </x:c>
      <x:c r="B4" s="11" t="str">
        <x:v>模块</x:v>
      </x:c>
      <x:c r="C4" s="11" t="str">
        <x:v>本阶段安排</x:v>
      </x:c>
      <x:c r="D4" s="11" t="str">
        <x:v>实现内容</x:v>
      </x:c>
      <x:c r="E4" s="11" t="str">
        <x:v>边界与验证</x:v>
      </x:c>
    </x:row>
    <x:row r="5" ht="60.75" customHeight="1">
      <x:c r="A5" s="12" t="str">
        <x:v>01</x:v>
      </x:c>
      <x:c r="B5" s="12" t="str">
        <x:v>主线</x:v>
      </x:c>
      <x:c r="C5" s="12" t="str">
        <x:v>本阶段实现</x:v>
      </x:c>
      <x:c r="D5" s="12" t="str">
        <x:v>SF32LB58 + RT-Thread/LVGL；先开发板，再自研主板/外壳。</x:v>
      </x:c>
      <x:c r="E5" s="12" t="str">
        <x:v>联网和官方应用不再是本阶段前置条件。</x:v>
      </x:c>
    </x:row>
    <x:row r="6" ht="60.75" customHeight="1">
      <x:c r="A6" s="13" t="str">
        <x:v>02</x:v>
      </x:c>
      <x:c r="B6" s="13" t="str">
        <x:v>界面</x:v>
      </x:c>
      <x:c r="C6" s="13" t="str">
        <x:v>本阶段实现</x:v>
      </x:c>
      <x:c r="D6" s="13" t="str">
        <x:v>表盘、蜂窝图标、列表、控制中心、设置、健康/运动页面；暗色与动画。</x:v>
      </x:c>
      <x:c r="E6" s="13" t="str">
        <x:v>60 fps 为目标；同时测触摸、表冠响应和掉帧。</x:v>
      </x:c>
    </x:row>
    <x:row r="7" ht="60.75" customHeight="1">
      <x:c r="A7" s="12" t="str">
        <x:v>03</x:v>
      </x:c>
      <x:c r="B7" s="12" t="str">
        <x:v>基础功能</x:v>
      </x:c>
      <x:c r="C7" s="12" t="str">
        <x:v>本阶段实现</x:v>
      </x:c>
      <x:c r="D7" s="12" t="str">
        <x:v>本地时间、日期、闹钟、秒表、计时器；手动或有线校时。</x:v>
      </x:c>
      <x:c r="E7" s="12" t="str">
        <x:v>离线掉电后重启、RTC 计时与闹钟必须实测。</x:v>
      </x:c>
    </x:row>
    <x:row r="8" ht="60.75" customHeight="1">
      <x:c r="A8" s="13" t="str">
        <x:v>04</x:v>
      </x:c>
      <x:c r="B8" s="13" t="str">
        <x:v>交互</x:v>
      </x:c>
      <x:c r="C8" s="13" t="str">
        <x:v>本阶段实现</x:v>
      </x:c>
      <x:c r="D8" s="13" t="str">
        <x:v>触摸、可按压表冠、侧键、LRA 反馈、抬腕亮屏与休眠。</x:v>
      </x:c>
      <x:c r="E8" s="13" t="str">
        <x:v>电机与机械安装共同决定触感；AOD 在基础休眠后优化。</x:v>
      </x:c>
    </x:row>
    <x:row r="9" ht="60.75" customHeight="1">
      <x:c r="A9" s="12" t="str">
        <x:v>05</x:v>
      </x:c>
      <x:c r="B9" s="12" t="str">
        <x:v>心率血氧</x:v>
      </x:c>
      <x:c r="C9" s="12" t="str">
        <x:v>本阶段实现</x:v>
      </x:c>
      <x:c r="D9" s="12" t="str">
        <x:v>接入真实 PPG 数据和算法输出；本地显示与保存摘要。</x:v>
      </x:c>
      <x:c r="E9" s="12" t="str">
        <x:v>开发板本身不测 HR/SpO2；外接健康模块，先验证静止血氧。</x:v>
      </x:c>
    </x:row>
    <x:row r="10" ht="60.75" customHeight="1">
      <x:c r="A10" s="13" t="str">
        <x:v>06</x:v>
      </x:c>
      <x:c r="B10" s="13" t="str">
        <x:v>运动记录</x:v>
      </x:c>
      <x:c r="C10" s="13" t="str">
        <x:v>本阶段实现</x:v>
      </x:c>
      <x:c r="D10" s="13" t="str">
        <x:v>IMU 计步、活动时长及简单运动页面；本地保存。</x:v>
      </x:c>
      <x:c r="E10" s="13" t="str">
        <x:v>GNSS 轨迹暂不集成；运动/睡眠算法不因离线而自动具备。</x:v>
      </x:c>
    </x:row>
    <x:row r="11" ht="60.75" customHeight="1">
      <x:c r="A11" s="12" t="str">
        <x:v>07</x:v>
      </x:c>
      <x:c r="B11" s="12" t="str">
        <x:v>主板和外壳</x:v>
      </x:c>
      <x:c r="C11" s="12" t="str">
        <x:v>本阶段后段</x:v>
      </x:c>
      <x:c r="D11" s="12" t="str">
        <x:v>完全新设计；初版可用 SF58 模组 + 自研载板，紧凑版再选裸芯片。</x:v>
      </x:c>
      <x:c r="E11" s="12" t="str">
        <x:v>模组 24×24 mm；整机厚度与电池容量仍需 3D 堆叠。</x:v>
      </x:c>
    </x:row>
    <x:row r="12" ht="60.75" customHeight="1">
      <x:c r="A12" s="13" t="str">
        <x:v>08</x:v>
      </x:c>
      <x:c r="B12" s="13" t="str">
        <x:v>联网/同步</x:v>
      </x:c>
      <x:c r="C12" s="13" t="str">
        <x:v>后续阶段</x:v>
      </x:c>
      <x:c r="D12" s="13" t="str">
        <x:v>暂不开发 Wi-Fi、蜂窝网络、云服务、蓝牙数据同步和 OTA。</x:v>
      </x:c>
      <x:c r="E12" s="13" t="str">
        <x:v>SF58 内置蓝牙保留；本阶段功能在无线关闭时验收，有线烧录/日志。</x:v>
      </x:c>
    </x:row>
    <x:row r="13" ht="60.75" customHeight="1">
      <x:c r="A13" s="12" t="str">
        <x:v>09</x:v>
      </x:c>
      <x:c r="B13" s="12" t="str">
        <x:v>微信/支付宝</x:v>
      </x:c>
      <x:c r="C13" s="12" t="str">
        <x:v>后续阶段</x:v>
      </x:c>
      <x:c r="D13" s="12" t="str">
        <x:v>不开发官方应用安装、聊天和真实支付，也不制作容易误认的假付款功能。</x:v>
      </x:c>
      <x:c r="E13" s="12" t="str">
        <x:v>未来需要单独重评应用生态，不能承诺 SF58 加网络后可直接安装。</x:v>
      </x:c>
    </x:row>
    <x:row r="14" ht="60.75" customHeight="1">
      <x:c r="A14" s="13" t="str">
        <x:v>10</x:v>
      </x:c>
      <x:c r="B14" s="13" t="str">
        <x:v>其他扩展</x:v>
      </x:c>
      <x:c r="C14" s="13" t="str">
        <x:v>后续阶段</x:v>
      </x:c>
      <x:c r="D14" s="13" t="str">
        <x:v>ECG、腕温、NFC、GNSS、在线音乐、通话以及复杂睡眠/预警算法。</x:v>
      </x:c>
      <x:c r="E14" s="13" t="str">
        <x:v>保持在最终方向中，暂不放入本轮采购和 PCB 必装清单。</x:v>
      </x:c>
    </x:row>
  </x:sheetData>
  <x:pageMargins left="0.7" right="0.7" top="0.75" bottom="0.75" header="0.3" footer="0.3"/>
  <x:tableParts count="1">
    <x:tablePart xmlns:r="http://schemas.openxmlformats.org/officeDocument/2006/relationships" r:id="R08447566b5c343c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880000114440918" hidden="0" customWidth="1"/>
    <x:col min="2" max="2" width="38.130001068115234" hidden="0" customWidth="1"/>
    <x:col min="3" max="3" width="6.880000114440918" hidden="0" customWidth="1"/>
    <x:col min="4" max="4" width="17.5" hidden="0" customWidth="1"/>
    <x:col min="5" max="5" width="48.75" hidden="0" customWidth="1"/>
    <x:col min="6" max="6" width="31.25" hidden="0" customWidth="1"/>
    <x:col min="7" max="7" width="12.5" hidden="0" customWidth="1"/>
  </x:cols>
  <x:sheetData>
    <x:row r="1" ht="29" customHeight="1">
      <x:c r="A1" s="5" t="str">
        <x:v>开发采购</x:v>
      </x:c>
      <x:c r="B1" s="3"/>
      <x:c r="C1" s="3"/>
      <x:c r="D1" s="3"/>
      <x:c r="E1" s="3"/>
      <x:c r="F1" s="3"/>
      <x:c r="G1" s="3"/>
    </x:row>
    <x:row r="2">
      <x:c r="A2" s="7" t="str">
        <x:v>第一批先买板屏套装与数据线；不把开发套件当成最终可佩戴主板。</x:v>
      </x:c>
      <x:c r="B2" s="8"/>
      <x:c r="C2" s="8"/>
      <x:c r="D2" s="8"/>
      <x:c r="E2" s="8"/>
      <x:c r="F2" s="8"/>
      <x:c r="G2" s="8"/>
    </x:row>
    <x:row r="3">
      <x:c r="A3" s="3"/>
      <x:c r="B3" s="3"/>
      <x:c r="C3" s="3"/>
      <x:c r="D3" s="3"/>
      <x:c r="E3" s="3"/>
      <x:c r="F3" s="3"/>
      <x:c r="G3" s="3"/>
    </x:row>
    <x:row r="4" ht="32" customHeight="1">
      <x:c r="A4" s="11" t="str">
        <x:v>编号</x:v>
      </x:c>
      <x:c r="B4" s="11" t="str">
        <x:v>项目</x:v>
      </x:c>
      <x:c r="C4" s="11" t="str">
        <x:v>数量</x:v>
      </x:c>
      <x:c r="D4" s="11" t="str">
        <x:v>批次</x:v>
      </x:c>
      <x:c r="E4" s="11" t="str">
        <x:v>采购前确认</x:v>
      </x:c>
      <x:c r="F4" s="11" t="str">
        <x:v>价格与说明</x:v>
      </x:c>
      <x:c r="G4" s="11" t="str">
        <x:v>来源</x:v>
      </x:c>
    </x:row>
    <x:row r="5" ht="60.75" customHeight="1">
      <x:c r="A5" s="12" t="str">
        <x:v>P01</x:v>
      </x:c>
      <x:c r="B5" s="12" t="str">
        <x:v>SF32LB58-DevKit-LCD，N16R32N1 + 配套 AMOLED</x:v>
      </x:c>
      <x:c r="C5" s="14" t="n">
        <x:v>1</x:v>
      </x:c>
      <x:c r="D5" s="12" t="str">
        <x:v>第一批</x:v>
      </x:c>
      <x:c r="E5" s="12" t="str">
        <x:v>按截图选择含 AMOLED 的套餐；取得能编译的屏幕/触摸例程及转接板。</x:v>
      </x:c>
      <x:c r="F5" s="12" t="str">
        <x:v>本版建议；实际套装价格未核实</x:v>
      </x:c>
      <x:c r="G5" s="12" t="str">
        <x:v>S01/S06</x:v>
      </x:c>
    </x:row>
    <x:row r="6" ht="60.75" customHeight="1">
      <x:c r="A6" s="13" t="str">
        <x:v>P02</x:v>
      </x:c>
      <x:c r="B6" s="13" t="str">
        <x:v>USB 数据线</x:v>
      </x:c>
      <x:c r="C6" s="15" t="n">
        <x:v>1</x:v>
      </x:c>
      <x:c r="D6" s="13" t="str">
        <x:v>第一批</x:v>
      </x:c>
      <x:c r="E6" s="13" t="str">
        <x:v>接 USB 转 UART 调试口；第二根线仅在同时使用芯片 USB 时需要。</x:v>
      </x:c>
      <x:c r="F6" s="13" t="str">
        <x:v>优先使用已有数据线</x:v>
      </x:c>
      <x:c r="G6" s="13" t="str">
        <x:v>S01</x:v>
      </x:c>
    </x:row>
    <x:row r="7" ht="60.75" customHeight="1">
      <x:c r="A7" s="12" t="str">
        <x:v>P03</x:v>
      </x:c>
      <x:c r="B7" s="12" t="str">
        <x:v>表冠原型编码器 + 按键</x:v>
      </x:c>
      <x:c r="C7" s="14" t="n">
        <x:v>1</x:v>
      </x:c>
      <x:c r="D7" s="12" t="str">
        <x:v>第二批</x:v>
      </x:c>
      <x:c r="E7" s="12" t="str">
        <x:v>先用可按压编码器模块验证操作；最终机构在外壳阶段确定。</x:v>
      </x:c>
      <x:c r="F7" s="12" t="str">
        <x:v>GPIO 电平及去抖需确认</x:v>
      </x:c>
      <x:c r="G7" s="12" t="str">
        <x:v>S02</x:v>
      </x:c>
    </x:row>
    <x:row r="8" ht="60.75" customHeight="1">
      <x:c r="A8" s="13" t="str">
        <x:v>P04</x:v>
      </x:c>
      <x:c r="B8" s="13" t="str">
        <x:v>DRV2605L 评估模块 + 小型 LRA</x:v>
      </x:c>
      <x:c r="C8" s="15" t="n">
        <x:v>1</x:v>
      </x:c>
      <x:c r="D8" s="13" t="str">
        <x:v>第二批</x:v>
      </x:c>
      <x:c r="E8" s="13" t="str">
        <x:v>用于表冠刻度/通知反馈；先原型调校再选具体马达尺寸。</x:v>
      </x:c>
      <x:c r="F8" s="13" t="str">
        <x:v>核对模块逻辑电平与 LRA 参数</x:v>
      </x:c>
      <x:c r="G8" s="13" t="str">
        <x:v>S13</x:v>
      </x:c>
    </x:row>
    <x:row r="9" ht="48" customHeight="1">
      <x:c r="A9" s="12" t="str">
        <x:v>P05</x:v>
      </x:c>
      <x:c r="B9" s="12" t="str">
        <x:v>LSM6DSO 评估模块</x:v>
      </x:c>
      <x:c r="C9" s="14" t="n">
        <x:v>1</x:v>
      </x:c>
      <x:c r="D9" s="12" t="str">
        <x:v>第二批</x:v>
      </x:c>
      <x:c r="E9" s="12" t="str">
        <x:v>抬腕、计步和健康算法加速度输入。</x:v>
      </x:c>
      <x:c r="F9" s="12" t="str">
        <x:v>核对供电/IO、数据率和时间戳</x:v>
      </x:c>
      <x:c r="G9" s="12" t="str">
        <x:v>S10/S11</x:v>
      </x:c>
    </x:row>
    <x:row r="10" ht="60.75" customHeight="1">
      <x:c r="A10" s="13" t="str">
        <x:v>P06</x:v>
      </x:c>
      <x:c r="B10" s="13" t="str">
        <x:v>MAXM86146EVSYS</x:v>
      </x:c>
      <x:c r="C10" s="15" t="n">
        <x:v>1</x:v>
      </x:c>
      <x:c r="D10" s="13" t="str">
        <x:v>健康验证批次</x:v>
      </x:c>
      <x:c r="E10" s="13" t="str">
        <x:v>先确认算法固件、GUI、供货及主机供数模式；接入独立健康界面。</x:v>
      </x:c>
      <x:c r="F10" s="13" t="str">
        <x:v>有官方评估路线，价格/库存未确认</x:v>
      </x:c>
      <x:c r="G10" s="13" t="str">
        <x:v>S07/S08</x:v>
      </x:c>
    </x:row>
    <x:row r="11" ht="60.75" customHeight="1">
      <x:c r="A11" s="12" t="str">
        <x:v>P07</x:v>
      </x:c>
      <x:c r="B11" s="12" t="str">
        <x:v>健康/主控转接线板</x:v>
      </x:c>
      <x:c r="C11" s="14" t="n">
        <x:v>1</x:v>
      </x:c>
      <x:c r="D11" s="12" t="str">
        <x:v>接口明确后</x:v>
      </x:c>
      <x:c r="E11" s="12" t="str">
        <x:v>按参考图对照 VIO、GND、I2C、RESET/MFIO；不能按排针间距盲插。</x:v>
      </x:c>
      <x:c r="F11" s="12" t="str">
        <x:v>电气检查后制作</x:v>
      </x:c>
      <x:c r="G11" s="12" t="str">
        <x:v>S02/S09</x:v>
      </x:c>
    </x:row>
    <x:row r="12" ht="60.75" customHeight="1">
      <x:c r="A12" s="13" t="str">
        <x:v>P08</x:v>
      </x:c>
      <x:c r="B12" s="13" t="str">
        <x:v>自研载板、传感板、3D 外壳</x:v>
      </x:c>
      <x:c r="C12" s="15" t="n">
        <x:v>1</x:v>
      </x:c>
      <x:c r="D12" s="13" t="str">
        <x:v>开发板功能验证后</x:v>
      </x:c>
      <x:c r="E12" s="13" t="str">
        <x:v>先做可调试版本，再收紧体积；样件数量由返板计划确定。</x:v>
      </x:c>
      <x:c r="F12" s="13" t="str">
        <x:v>此项按一轮服务计，价格待图纸</x:v>
      </x:c>
      <x:c r="G12" s="13" t="str">
        <x:v>工程设计</x:v>
      </x:c>
    </x:row>
  </x:sheetData>
  <x:pageMargins left="0.7" right="0.7" top="0.75" bottom="0.75" header="0.3" footer="0.3"/>
  <x:tableParts count="1">
    <x:tablePart xmlns:r="http://schemas.openxmlformats.org/officeDocument/2006/relationships" r:id="R142812dd70e8428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880000114440918" hidden="0" customWidth="1"/>
    <x:col min="2" max="2" width="16.8799991607666" hidden="0" customWidth="1"/>
    <x:col min="3" max="3" width="36.880001068115234" hidden="0" customWidth="1"/>
    <x:col min="4" max="4" width="6.880000114440918" hidden="0" customWidth="1"/>
    <x:col min="5" max="5" width="43.75" hidden="0" customWidth="1"/>
    <x:col min="6" max="6" width="43.75" hidden="0" customWidth="1"/>
    <x:col min="7" max="7" width="12.5" hidden="0" customWidth="1"/>
  </x:cols>
  <x:sheetData>
    <x:row r="1" ht="29" customHeight="1">
      <x:c r="A1" s="5" t="str">
        <x:v>整机候选</x:v>
      </x:c>
      <x:c r="B1" s="3"/>
      <x:c r="C1" s="3"/>
      <x:c r="D1" s="3"/>
      <x:c r="E1" s="3"/>
      <x:c r="F1" s="3"/>
      <x:c r="G1" s="3"/>
    </x:row>
    <x:row r="2">
      <x:c r="A2" s="7" t="str">
        <x:v>初版模组方案与裸芯片方案互斥；数量 1 的组项需在原理图阶段展开。</x:v>
      </x:c>
      <x:c r="B2" s="8"/>
      <x:c r="C2" s="8"/>
      <x:c r="D2" s="8"/>
      <x:c r="E2" s="8"/>
      <x:c r="F2" s="8"/>
      <x:c r="G2" s="8"/>
    </x:row>
    <x:row r="3">
      <x:c r="A3" s="3"/>
      <x:c r="B3" s="3"/>
      <x:c r="C3" s="3"/>
      <x:c r="D3" s="3"/>
      <x:c r="E3" s="3"/>
      <x:c r="F3" s="3"/>
      <x:c r="G3" s="3"/>
    </x:row>
    <x:row r="4" ht="32" customHeight="1">
      <x:c r="A4" s="11" t="str">
        <x:v>编号</x:v>
      </x:c>
      <x:c r="B4" s="11" t="str">
        <x:v>功能</x:v>
      </x:c>
      <x:c r="C4" s="11" t="str">
        <x:v>候选器件/方案</x:v>
      </x:c>
      <x:c r="D4" s="11" t="str">
        <x:v>数量</x:v>
      </x:c>
      <x:c r="E4" s="11" t="str">
        <x:v>设计选择</x:v>
      </x:c>
      <x:c r="F4" s="11" t="str">
        <x:v>验证/装配条件</x:v>
      </x:c>
      <x:c r="G4" s="11" t="str">
        <x:v>来源</x:v>
      </x:c>
    </x:row>
    <x:row r="5" ht="60.75" customHeight="1">
      <x:c r="A5" s="12" t="str">
        <x:v>B01</x:v>
      </x:c>
      <x:c r="B5" s="12" t="str">
        <x:v>主控</x:v>
      </x:c>
      <x:c r="C5" s="12" t="str">
        <x:v>SF32LB58-MOD-N16R32N1；紧凑版 SF32LB586VDD36</x:v>
      </x:c>
      <x:c r="D5" s="14" t="n">
        <x:v>1</x:v>
      </x:c>
      <x:c r="E5" s="12" t="str">
        <x:v>初版优先 24×24 mm 模组；避免一开始处理裸芯片密集布线。</x:v>
      </x:c>
      <x:c r="F5" s="12" t="str">
        <x:v>与分立方案互斥；模块内存/晶体不再重复采购。</x:v>
      </x:c>
      <x:c r="G5" s="12" t="str">
        <x:v>S01/S04</x:v>
      </x:c>
    </x:row>
    <x:row r="6" ht="60.75" customHeight="1">
      <x:c r="A6" s="13" t="str">
        <x:v>B02</x:v>
      </x:c>
      <x:c r="B6" s="13" t="str">
        <x:v>主存储</x:v>
      </x:c>
      <x:c r="C6" s="13" t="str">
        <x:v>模组内 16+16 MB PSRAM、16 MB NOR 与合封启动 Flash</x:v>
      </x:c>
      <x:c r="D6" s="15" t="n">
        <x:v>1</x:v>
      </x:c>
      <x:c r="E6" s="13" t="str">
        <x:v>按模组既有配置；图形、字体、固件和历史摘要先做预算。</x:v>
      </x:c>
      <x:c r="F6" s="13" t="str">
        <x:v>按两个 PSRAM 区域配置，不默认单一连续 32 MB 堆。</x:v>
      </x:c>
      <x:c r="G6" s="13" t="str">
        <x:v>S01/S04</x:v>
      </x:c>
    </x:row>
    <x:row r="7" ht="60.75" customHeight="1">
      <x:c r="A7" s="12" t="str">
        <x:v>B03</x:v>
      </x:c>
      <x:c r="B7" s="12" t="str">
        <x:v>时钟</x:v>
      </x:c>
      <x:c r="C7" s="12" t="str">
        <x:v>48 MHz + 32.768 kHz</x:v>
      </x:c>
      <x:c r="D7" s="14" t="n">
        <x:v>1</x:v>
      </x:c>
      <x:c r="E7" s="12" t="str">
        <x:v>模块已含；裸芯片版按官方 CL/ESR 与布局要求选型。</x:v>
      </x:c>
      <x:c r="F7" s="12" t="str">
        <x:v>不直接沿用 W5+ 平台晶体/电源设计。</x:v>
      </x:c>
      <x:c r="G7" s="12" t="str">
        <x:v>S02</x:v>
      </x:c>
    </x:row>
    <x:row r="8" ht="60.75" customHeight="1">
      <x:c r="A8" s="13" t="str">
        <x:v>B04</x:v>
      </x:c>
      <x:c r="B8" s="13" t="str">
        <x:v>显示触摸</x:v>
      </x:c>
      <x:c r="C8" s="13" t="str">
        <x:v>配套 1.85 英寸 390×450 AMOLED</x:v>
      </x:c>
      <x:c r="D8" s="15" t="n">
        <x:v>1</x:v>
      </x:c>
      <x:c r="E8" s="13" t="str">
        <x:v>截图标注 QSPI 显示 + I2C 触摸；先使用随板转接与驱动。</x:v>
      </x:c>
      <x:c r="F8" s="13" t="str">
        <x:v>CO5300AF-01/FT6146-M00 来自截图；RGB565 总线模式须核实。</x:v>
      </x:c>
      <x:c r="G8" s="13" t="str">
        <x:v>S06</x:v>
      </x:c>
    </x:row>
    <x:row r="9" ht="60.75" customHeight="1">
      <x:c r="A9" s="12" t="str">
        <x:v>B05</x:v>
      </x:c>
      <x:c r="B9" s="12" t="str">
        <x:v>屏接口与电源</x:v>
      </x:c>
      <x:c r="C9" s="12" t="str">
        <x:v>跟随配套屏参考设计</x:v>
      </x:c>
      <x:c r="D9" s="14" t="n">
        <x:v>1</x:v>
      </x:c>
      <x:c r="E9" s="12" t="str">
        <x:v>连接器、供电、电平、初始化与 TE/RESET 一并匹配。</x:v>
      </x:c>
      <x:c r="F9" s="12" t="str">
        <x:v>QSPI 面板不能靠改软件变成 MIPI；换屏需转接与驱动。</x:v>
      </x:c>
      <x:c r="G9" s="12" t="str">
        <x:v>S01/S02</x:v>
      </x:c>
    </x:row>
    <x:row r="10" ht="60.75" customHeight="1">
      <x:c r="A10" s="13" t="str">
        <x:v>B06</x:v>
      </x:c>
      <x:c r="B10" s="13" t="str">
        <x:v>光学健康模块</x:v>
      </x:c>
      <x:c r="C10" s="13" t="str">
        <x:v>MAXM86146CFU+</x:v>
      </x:c>
      <x:c r="D10" s="15" t="n">
        <x:v>1</x:v>
      </x:c>
      <x:c r="E10" s="13" t="str">
        <x:v>内含 AFE、算法 MCU 与双 PD；主机 I2C 与控制脚。</x:v>
      </x:c>
      <x:c r="F10" s="13" t="str">
        <x:v>外部 LED、算法固件和佩戴光学仍然必需。</x:v>
      </x:c>
      <x:c r="G10" s="13" t="str">
        <x:v>S07</x:v>
      </x:c>
    </x:row>
    <x:row r="11" ht="48" customHeight="1">
      <x:c r="A11" s="12" t="str">
        <x:v>B07</x:v>
      </x:c>
      <x:c r="B11" s="12" t="str">
        <x:v>红/红外 LED</x:v>
      </x:c>
      <x:c r="C11" s="12" t="str">
        <x:v>SFH 7015</x:v>
      </x:c>
      <x:c r="D11" s="14" t="n">
        <x:v>1</x:v>
      </x:c>
      <x:c r="E11" s="12" t="str">
        <x:v>按 EVSYS 参考选择红光/红外组件。</x:v>
      </x:c>
      <x:c r="F11" s="12" t="str">
        <x:v>完整分档和当前供货随健康板验证确认。</x:v>
      </x:c>
      <x:c r="G11" s="12" t="str">
        <x:v>S09</x:v>
      </x:c>
    </x:row>
    <x:row r="12" ht="48" customHeight="1">
      <x:c r="A12" s="13" t="str">
        <x:v>B08</x:v>
      </x:c>
      <x:c r="B12" s="13" t="str">
        <x:v>绿光 LED</x:v>
      </x:c>
      <x:c r="C12" s="13" t="str">
        <x:v>CT DBLP31.12-6C5D-56-J6U6</x:v>
      </x:c>
      <x:c r="D12" s="15" t="n">
        <x:v>2</x:v>
      </x:c>
      <x:c r="E12" s="13" t="str">
        <x:v>按 EVSYS 参考；替代需验证光学和算法设置。</x:v>
      </x:c>
      <x:c r="F12" s="13" t="str">
        <x:v>保留遮光和皮肤接触设计。</x:v>
      </x:c>
      <x:c r="G12" s="13" t="str">
        <x:v>S09</x:v>
      </x:c>
    </x:row>
    <x:row r="13" ht="48" customHeight="1">
      <x:c r="A13" s="12" t="str">
        <x:v>B09</x:v>
      </x:c>
      <x:c r="B13" s="12" t="str">
        <x:v>LED 切换</x:v>
      </x:c>
      <x:c r="C13" s="12" t="str">
        <x:v>MAX14689EWL+</x:v>
      </x:c>
      <x:c r="D13" s="14" t="n">
        <x:v>1</x:v>
      </x:c>
      <x:c r="E13" s="12" t="str">
        <x:v>与参考板的四发光芯片/三驱动通道拓扑配套。</x:v>
      </x:c>
      <x:c r="F13" s="12" t="str">
        <x:v>不能只接三个 LED 驱动通道就忽略切换配置。</x:v>
      </x:c>
      <x:c r="G13" s="12" t="str">
        <x:v>S09</x:v>
      </x:c>
    </x:row>
    <x:row r="14" ht="60.75" customHeight="1">
      <x:c r="A14" s="13" t="str">
        <x:v>B10</x:v>
      </x:c>
      <x:c r="B14" s="13" t="str">
        <x:v>健康板时钟/电源</x:v>
      </x:c>
      <x:c r="C14" s="13" t="str">
        <x:v>参考时钟、1.8 V 域、LED 电源与去耦</x:v>
      </x:c>
      <x:c r="D14" s="15" t="n">
        <x:v>1</x:v>
      </x:c>
      <x:c r="E14" s="13" t="str">
        <x:v>根据健康模块手册展开；电源和地布局控制噪声。</x:v>
      </x:c>
      <x:c r="F14" s="13" t="str">
        <x:v>不把芯片电源直接接电池，不凭外观判断 IO 电平。</x:v>
      </x:c>
      <x:c r="G14" s="13" t="str">
        <x:v>S09</x:v>
      </x:c>
    </x:row>
    <x:row r="15" ht="60.75" customHeight="1">
      <x:c r="A15" s="12" t="str">
        <x:v>B11</x:v>
      </x:c>
      <x:c r="B15" s="12" t="str">
        <x:v>运动 IMU</x:v>
      </x:c>
      <x:c r="C15" s="12" t="str">
        <x:v>LSM6DSOTR</x:v>
      </x:c>
      <x:c r="D15" s="14" t="n">
        <x:v>1</x:v>
      </x:c>
      <x:c r="E15" s="12" t="str">
        <x:v>抬腕/计步；SF58 采集并通过支持的协议供给健康算法。</x:v>
      </x:c>
      <x:c r="F15" s="12" t="str">
        <x:v>LSM6DSO 不是算法内部驱动的即插即用替代；验证同步和采样率。</x:v>
      </x:c>
      <x:c r="G15" s="12" t="str">
        <x:v>S10/S11/S12</x:v>
      </x:c>
    </x:row>
    <x:row r="16" ht="48" customHeight="1">
      <x:c r="A16" s="13" t="str">
        <x:v>B12</x:v>
      </x:c>
      <x:c r="B16" s="13" t="str">
        <x:v>健康光学结构</x:v>
      </x:c>
      <x:c r="C16" s="13" t="str">
        <x:v>遮光墙、光学窗、贴肤支撑</x:v>
      </x:c>
      <x:c r="D16" s="15" t="n">
        <x:v>1</x:v>
      </x:c>
      <x:c r="E16" s="13" t="str">
        <x:v>先可调整光学样件，后固定进新后盖。</x:v>
      </x:c>
      <x:c r="F16" s="13" t="str">
        <x:v>无效信号应显示未测得，不能显示成正常数值。</x:v>
      </x:c>
      <x:c r="G16" s="13" t="str">
        <x:v>S07/S09</x:v>
      </x:c>
    </x:row>
    <x:row r="17" ht="48" customHeight="1">
      <x:c r="A17" s="12" t="str">
        <x:v>B13</x:v>
      </x:c>
      <x:c r="B17" s="12" t="str">
        <x:v>振动驱动</x:v>
      </x:c>
      <x:c r="C17" s="12" t="str">
        <x:v>DRV2605L</x:v>
      </x:c>
      <x:c r="D17" s="14" t="n">
        <x:v>1</x:v>
      </x:c>
      <x:c r="E17" s="12" t="str">
        <x:v>I2C 控制 LRA；原型阶段用评估模块。</x:v>
      </x:c>
      <x:c r="F17" s="12" t="str">
        <x:v>核对 1.8 V 逻辑兼容及马达额定参数。</x:v>
      </x:c>
      <x:c r="G17" s="12" t="str">
        <x:v>S13</x:v>
      </x:c>
    </x:row>
    <x:row r="18" ht="48" customHeight="1">
      <x:c r="A18" s="13" t="str">
        <x:v>B14</x:v>
      </x:c>
      <x:c r="B18" s="13" t="str">
        <x:v>马达</x:v>
      </x:c>
      <x:c r="C18" s="13" t="str">
        <x:v>小型 LRA，MPN 随外壳确定</x:v>
      </x:c>
      <x:c r="D18" s="15" t="n">
        <x:v>1</x:v>
      </x:c>
      <x:c r="E18" s="13" t="str">
        <x:v>同一马达在不同安装刚度下响应不同。</x:v>
      </x:c>
      <x:c r="F18" s="13" t="str">
        <x:v>预留刚性支撑与独立调校空间。</x:v>
      </x:c>
      <x:c r="G18" s="13" t="str">
        <x:v>S13</x:v>
      </x:c>
    </x:row>
    <x:row r="19" ht="48" customHeight="1">
      <x:c r="A19" s="12" t="str">
        <x:v>B15</x:v>
      </x:c>
      <x:c r="B19" s="12" t="str">
        <x:v>表冠/按键</x:v>
      </x:c>
      <x:c r="C19" s="12" t="str">
        <x:v>可按压旋转机构 + 侧键</x:v>
      </x:c>
      <x:c r="D19" s="14" t="n">
        <x:v>1</x:v>
      </x:c>
      <x:c r="E19" s="12" t="str">
        <x:v>GPIO/编码器输入；先模块验证后选最终机构。</x:v>
      </x:c>
      <x:c r="F19" s="12" t="str">
        <x:v>端口中断、去抖、按压/旋转同时操作实测。</x:v>
      </x:c>
      <x:c r="G19" s="12" t="str">
        <x:v>S02</x:v>
      </x:c>
    </x:row>
    <x:row r="20" ht="60.75" customHeight="1">
      <x:c r="A20" s="13" t="str">
        <x:v>B16</x:v>
      </x:c>
      <x:c r="B20" s="13" t="str">
        <x:v>主电源</x:v>
      </x:c>
      <x:c r="C20" s="13" t="str">
        <x:v>SF30147C + SF58 参考电源树</x:v>
      </x:c>
      <x:c r="D20" s="15" t="n">
        <x:v>1</x:v>
      </x:c>
      <x:c r="E20" s="13" t="str">
        <x:v>作为可穿戴板候选；模块方案遵循模块供电要求。</x:v>
      </x:c>
      <x:c r="F20" s="13" t="str">
        <x:v>开发板已含供电；自研板重新核对所有电压域和峰值电流。</x:v>
      </x:c>
      <x:c r="G20" s="13" t="str">
        <x:v>S02</x:v>
      </x:c>
    </x:row>
    <x:row r="21" ht="60.75" customHeight="1">
      <x:c r="A21" s="12" t="str">
        <x:v>B17</x:v>
      </x:c>
      <x:c r="B21" s="12" t="str">
        <x:v>电池充电</x:v>
      </x:c>
      <x:c r="C21" s="12" t="str">
        <x:v>BQ25180，或完整官方充电参考方案</x:v>
      </x:c>
      <x:c r="D21" s="14" t="n">
        <x:v>1</x:v>
      </x:c>
      <x:c r="E21" s="12" t="str">
        <x:v>单节电池充电/电源路径；二选一并与 B16 做电源树核对。</x:v>
      </x:c>
      <x:c r="F21" s="12" t="str">
        <x:v>实际电芯终止电压、电流、NTC、保护与散热确定后冻结。</x:v>
      </x:c>
      <x:c r="G21" s="12" t="str">
        <x:v>S14</x:v>
      </x:c>
    </x:row>
    <x:row r="22" ht="60.75" customHeight="1">
      <x:c r="A22" s="13" t="str">
        <x:v>B18</x:v>
      </x:c>
      <x:c r="B22" s="13" t="str">
        <x:v>电池</x:v>
      </x:c>
      <x:c r="C22" s="13" t="str">
        <x:v>单节 LiPo；300–500 mAh 仅初期体积评估范围</x:v>
      </x:c>
      <x:c r="D22" s="15" t="n">
        <x:v>1</x:v>
      </x:c>
      <x:c r="E22" s="13" t="str">
        <x:v>优先满足尺寸、内阻、保护及温度要求。</x:v>
      </x:c>
      <x:c r="F22" s="13" t="str">
        <x:v>本版资源表以 400 mAh 做假设；不保证最终容量/续航。</x:v>
      </x:c>
      <x:c r="G22" s="13" t="str">
        <x:v>工程假设</x:v>
      </x:c>
    </x:row>
    <x:row r="23" ht="48" customHeight="1">
      <x:c r="A23" s="12" t="str">
        <x:v>B19</x:v>
      </x:c>
      <x:c r="B23" s="12" t="str">
        <x:v>充电接入</x:v>
      </x:c>
      <x:c r="C23" s="12" t="str">
        <x:v>磁吸触点/底座；无线接收后续评估</x:v>
      </x:c>
      <x:c r="D23" s="14" t="n">
        <x:v>1</x:v>
      </x:c>
      <x:c r="E23" s="12" t="str">
        <x:v>原型用 USB；优先简化第一次整机充电调试。</x:v>
      </x:c>
      <x:c r="F23" s="12" t="str">
        <x:v>不假定兼容 Apple 原装无线充电盘。</x:v>
      </x:c>
      <x:c r="G23" s="12" t="str">
        <x:v>工程选择</x:v>
      </x:c>
    </x:row>
    <x:row r="24" ht="60.75" customHeight="1">
      <x:c r="A24" s="13" t="str">
        <x:v>B20</x:v>
      </x:c>
      <x:c r="B24" s="13" t="str">
        <x:v>PCB/FPC/调试</x:v>
      </x:c>
      <x:c r="C24" s="13" t="str">
        <x:v>自研载板 + 健康板/FPC + UART/SWD/BOOT 测试点</x:v>
      </x:c>
      <x:c r="D24" s="15" t="n">
        <x:v>1</x:v>
      </x:c>
      <x:c r="E24" s="13" t="str">
        <x:v>开发板不放入表壳；载板先保留测试点，再收紧结构。</x:v>
      </x:c>
      <x:c r="F24" s="13" t="str">
        <x:v>层数/板厚由实际布局决定；保留离线恢复刷机路径。</x:v>
      </x:c>
      <x:c r="G24" s="13" t="str">
        <x:v>S01/S02</x:v>
      </x:c>
    </x:row>
    <x:row r="25" ht="60.75" customHeight="1">
      <x:c r="A25" s="12" t="str">
        <x:v>B21</x:v>
      </x:c>
      <x:c r="B25" s="12" t="str">
        <x:v>外壳/表带连接</x:v>
      </x:c>
      <x:c r="C25" s="12" t="str">
        <x:v>完全新设计中框、后盖、盖板与连接机构</x:v>
      </x:c>
      <x:c r="D25" s="14" t="n">
        <x:v>1</x:v>
      </x:c>
      <x:c r="E25" s="12" t="str">
        <x:v>3D 样件核对屏幕、电池、马达、光学和表冠堆叠。</x:v>
      </x:c>
      <x:c r="F25" s="12" t="str">
        <x:v>不直接承诺 Apple 尺寸、厚度、防水或重量。</x:v>
      </x:c>
      <x:c r="G25" s="12" t="str">
        <x:v>用户目标</x:v>
      </x:c>
    </x:row>
    <x:row r="26" ht="60.75" customHeight="1">
      <x:c r="A26" s="13" t="str">
        <x:v>B22</x:v>
      </x:c>
      <x:c r="B26" s="13" t="str">
        <x:v>无源/连接器</x:v>
      </x:c>
      <x:c r="C26" s="13" t="str">
        <x:v>按原理图展开</x:v>
      </x:c>
      <x:c r="D26" s="15"/>
      <x:c r="E26" s="13" t="str">
        <x:v>电感、电容、电阻、ESD、排线座及封装尾码。</x:v>
      </x:c>
      <x:c r="F26" s="13" t="str">
        <x:v>当前是选型级 BOM，不能直接作为生产贴片清单。</x:v>
      </x:c>
      <x:c r="G26" s="13" t="str">
        <x:v>工程设计</x:v>
      </x:c>
    </x:row>
  </x:sheetData>
  <x:pageMargins left="0.7" right="0.7" top="0.75" bottom="0.75" header="0.3" footer="0.3"/>
  <x:tableParts count="1">
    <x:tablePart xmlns:r="http://schemas.openxmlformats.org/officeDocument/2006/relationships" r:id="R121a6645dd594b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8799991607666" hidden="0" customWidth="1"/>
    <x:col min="2" max="2" width="16.8799991607666" hidden="0" customWidth="1"/>
    <x:col min="3" max="3" width="13.130000114440918" hidden="0" customWidth="1"/>
    <x:col min="4" max="4" width="49.380001068115234" hidden="0" customWidth="1"/>
  </x:cols>
  <x:sheetData>
    <x:row r="1" ht="32" customHeight="1">
      <x:c r="A1" s="17" t="str">
        <x:v>资源预算</x:v>
      </x:c>
      <x:c r="B1" s="16"/>
      <x:c r="C1" s="16"/>
      <x:c r="D1" s="16"/>
    </x:row>
    <x:row r="2" ht="32" customHeight="1">
      <x:c r="A2" s="16" t="str">
        <x:v>黄色为假设；显示、RAM、存储和续航均需实际测量替换。</x:v>
      </x:c>
      <x:c r="B2" s="16"/>
      <x:c r="C2" s="16"/>
      <x:c r="D2" s="16"/>
    </x:row>
    <x:row r="3" ht="32" customHeight="1">
      <x:c r="A3" s="16"/>
      <x:c r="B3" s="16"/>
      <x:c r="C3" s="16"/>
      <x:c r="D3" s="16"/>
    </x:row>
    <x:row r="4" ht="32" customHeight="1">
      <x:c r="A4" s="11" t="str">
        <x:v>参数</x:v>
      </x:c>
      <x:c r="B4" s="11" t="str">
        <x:v>值</x:v>
      </x:c>
      <x:c r="C4" s="11" t="str">
        <x:v>单位</x:v>
      </x:c>
      <x:c r="D4" s="11" t="str">
        <x:v>说明</x:v>
      </x:c>
    </x:row>
    <x:row r="5" ht="32" customHeight="1">
      <x:c r="A5" s="18" t="str">
        <x:v>屏幕宽</x:v>
      </x:c>
      <x:c r="B5" s="24" t="n">
        <x:v>390</x:v>
      </x:c>
      <x:c r="C5" s="18" t="str">
        <x:v>pixel</x:v>
      </x:c>
      <x:c r="D5" s="18" t="str">
        <x:v>来自商品截图；以实际屏为准</x:v>
      </x:c>
    </x:row>
    <x:row r="6" ht="32" customHeight="1">
      <x:c r="A6" s="18" t="str">
        <x:v>屏幕高</x:v>
      </x:c>
      <x:c r="B6" s="24" t="n">
        <x:v>450</x:v>
      </x:c>
      <x:c r="C6" s="18" t="str">
        <x:v>pixel</x:v>
      </x:c>
      <x:c r="D6" s="18" t="str">
        <x:v>来自商品截图；以实际屏为准</x:v>
      </x:c>
    </x:row>
    <x:row r="7" ht="32" customHeight="1">
      <x:c r="A7" s="18" t="str">
        <x:v>目标刷新率</x:v>
      </x:c>
      <x:c r="B7" s="24" t="n">
        <x:v>60</x:v>
      </x:c>
      <x:c r="C7" s="18" t="str">
        <x:v>Hz</x:v>
      </x:c>
      <x:c r="D7" s="18" t="str">
        <x:v>UI 目标，非开发板已测帧率</x:v>
      </x:c>
    </x:row>
    <x:row r="8" ht="32" customHeight="1">
      <x:c r="A8" s="18" t="str">
        <x:v>QSPI 时钟假设</x:v>
      </x:c>
      <x:c r="B8" s="24" t="n">
        <x:v>50</x:v>
      </x:c>
      <x:c r="C8" s="18" t="str">
        <x:v>MHz</x:v>
      </x:c>
      <x:c r="D8" s="18" t="str">
        <x:v>演算值；须查面板/板级驱动可用时钟</x:v>
      </x:c>
    </x:row>
    <x:row r="9" ht="32" customHeight="1">
      <x:c r="A9" s="18" t="str">
        <x:v>QSPI 数据线数</x:v>
      </x:c>
      <x:c r="B9" s="24" t="n">
        <x:v>4</x:v>
      </x:c>
      <x:c r="C9" s="18" t="str">
        <x:v>bit/cycle</x:v>
      </x:c>
      <x:c r="D9" s="18" t="str">
        <x:v>SDR 假设；不套用 DDR 倍率</x:v>
      </x:c>
    </x:row>
    <x:row r="10" ht="32" customHeight="1">
      <x:c r="A10" s="18" t="str">
        <x:v>理论吞吐量</x:v>
      </x:c>
      <x:c r="B10" s="22" t="n">
        <x:f>B8*B9/8</x:f>
        <x:v>25</x:v>
      </x:c>
      <x:c r="C10" s="18" t="str">
        <x:v>MB/s</x:v>
      </x:c>
      <x:c r="D10" s="18" t="str">
        <x:v>不含协议、DMA 调度和屏幕等待</x:v>
      </x:c>
    </x:row>
    <x:row r="11" ht="32" customHeight="1">
      <x:c r="A11" s="18" t="str">
        <x:v>RGB888 一帧</x:v>
      </x:c>
      <x:c r="B11" s="25" t="n">
        <x:f>B5*B6*3</x:f>
        <x:v>526500</x:v>
      </x:c>
      <x:c r="C11" s="18" t="str">
        <x:v>byte</x:v>
      </x:c>
      <x:c r="D11" s="18" t="str">
        <x:v>线传 24 bit/pixel 假设</x:v>
      </x:c>
    </x:row>
    <x:row r="12" ht="32" customHeight="1">
      <x:c r="A12" s="18" t="str">
        <x:v>RGB888 传输时间</x:v>
      </x:c>
      <x:c r="B12" s="22" t="n">
        <x:f>B11/(B10*1000000)*1000</x:f>
        <x:v>21.06</x:v>
      </x:c>
      <x:c r="C12" s="18" t="str">
        <x:v>ms</x:v>
      </x:c>
      <x:c r="D12" s="18" t="str">
        <x:v>只含有效像素字节</x:v>
      </x:c>
    </x:row>
    <x:row r="13" ht="32" customHeight="1">
      <x:c r="A13" s="18" t="str">
        <x:v>RGB565 一帧</x:v>
      </x:c>
      <x:c r="B13" s="25" t="n">
        <x:f>B5*B6*2</x:f>
        <x:v>351000</x:v>
      </x:c>
      <x:c r="C13" s="18" t="str">
        <x:v>byte</x:v>
      </x:c>
      <x:c r="D13" s="18" t="str">
        <x:v>仅当驱动和屏幕实际支持线传 16 位</x:v>
      </x:c>
    </x:row>
    <x:row r="14" ht="32" customHeight="1">
      <x:c r="A14" s="18" t="str">
        <x:v>RGB565 传输时间</x:v>
      </x:c>
      <x:c r="B14" s="22" t="n">
        <x:f>B13/(B10*1000000)*1000</x:f>
        <x:v>14.040000000000001</x:v>
      </x:c>
      <x:c r="C14" s="18" t="str">
        <x:v>ms</x:v>
      </x:c>
      <x:c r="D14" s="18" t="str">
        <x:v>渲染 16 位不代表总线也传 16 位</x:v>
      </x:c>
    </x:row>
    <x:row r="15" ht="32" customHeight="1">
      <x:c r="A15" s="18" t="str">
        <x:v>目标帧周期</x:v>
      </x:c>
      <x:c r="B15" s="22" t="n">
        <x:f>1000/B7</x:f>
        <x:v>16.666666666666668</x:v>
      </x:c>
      <x:c r="C15" s="18" t="str">
        <x:v>ms</x:v>
      </x:c>
      <x:c r="D15" s="18" t="str">
        <x:v>渲染和传输可重叠程度需测量</x:v>
      </x:c>
    </x:row>
    <x:row r="16" ht="32" customHeight="1">
      <x:c r="A16" s="18" t="str">
        <x:v>RGB565 双帧缓冲</x:v>
      </x:c>
      <x:c r="B16" s="22" t="n">
        <x:f>B13*2/1048576</x:f>
        <x:v>0.6694793701171875</x:v>
      </x:c>
      <x:c r="C16" s="18" t="str">
        <x:v>MiB</x:v>
      </x:c>
      <x:c r="D16" s="18" t="str">
        <x:v>只是帧缓冲，不含图形资源与中间缓冲</x:v>
      </x:c>
    </x:row>
    <x:row r="17" ht="32" customHeight="1">
      <x:c r="A17" s="18"/>
      <x:c r="B17" s="22"/>
      <x:c r="C17" s="18"/>
      <x:c r="D17" s="18"/>
    </x:row>
    <x:row r="18" ht="32" customHeight="1">
      <x:c r="A18" s="18" t="str">
        <x:v>图形资源/缓存预算</x:v>
      </x:c>
      <x:c r="B18" s="24" t="n">
        <x:v>8</x:v>
      </x:c>
      <x:c r="C18" s="18" t="str">
        <x:v>MiB</x:v>
      </x:c>
      <x:c r="D18" s="18" t="str">
        <x:v>自定初值，按 SDK 内存区域实际分配</x:v>
      </x:c>
    </x:row>
    <x:row r="19" ht="32" customHeight="1">
      <x:c r="A19" s="18" t="str">
        <x:v>应用堆预算</x:v>
      </x:c>
      <x:c r="B19" s="24" t="n">
        <x:v>2</x:v>
      </x:c>
      <x:c r="C19" s="18" t="str">
        <x:v>MiB</x:v>
      </x:c>
      <x:c r="D19" s="18" t="str">
        <x:v>自定初值，量测堆/栈高水位后调整</x:v>
      </x:c>
    </x:row>
    <x:row r="20" ht="32" customHeight="1">
      <x:c r="A20" s="18"/>
      <x:c r="B20" s="22"/>
      <x:c r="C20" s="18"/>
      <x:c r="D20" s="18"/>
    </x:row>
    <x:row r="21" ht="32" customHeight="1">
      <x:c r="A21" s="11" t="str">
        <x:v>外部 NOR 规划</x:v>
      </x:c>
      <x:c r="B21" s="23" t="str">
        <x:v>容量</x:v>
      </x:c>
      <x:c r="C21" s="11" t="str">
        <x:v>MiB</x:v>
      </x:c>
      <x:c r="D21" s="11" t="str">
        <x:v>初始规划；合封启动 Flash 另按 BSP 管理</x:v>
      </x:c>
    </x:row>
    <x:row r="22" ht="32" customHeight="1">
      <x:c r="A22" s="18" t="str">
        <x:v>固件</x:v>
      </x:c>
      <x:c r="B22" s="24" t="n">
        <x:v>6</x:v>
      </x:c>
      <x:c r="C22" s="18" t="str">
        <x:v>MiB</x:v>
      </x:c>
      <x:c r="D22" s="18" t="str">
        <x:v>以链接产物为准；不预留联网 OTA 双镜像</x:v>
      </x:c>
    </x:row>
    <x:row r="23" ht="32" customHeight="1">
      <x:c r="A23" s="18" t="str">
        <x:v>字体/图标/表盘</x:v>
      </x:c>
      <x:c r="B23" s="24" t="n">
        <x:v>6</x:v>
      </x:c>
      <x:c r="C23" s="18" t="str">
        <x:v>MiB</x:v>
      </x:c>
      <x:c r="D23" s="18" t="str">
        <x:v>先压缩资源并裁剪字体</x:v>
      </x:c>
    </x:row>
    <x:row r="24" ht="32" customHeight="1">
      <x:c r="A24" s="18" t="str">
        <x:v>摘要/设置</x:v>
      </x:c>
      <x:c r="B24" s="24" t="n">
        <x:v>2</x:v>
      </x:c>
      <x:c r="C24" s="18" t="str">
        <x:v>MiB</x:v>
      </x:c>
      <x:c r="D24" s="18" t="str">
        <x:v>原始 PPG 调试数据输出 PC</x:v>
      </x:c>
    </x:row>
    <x:row r="25" ht="32" customHeight="1">
      <x:c r="A25" s="18" t="str">
        <x:v>余量</x:v>
      </x:c>
      <x:c r="B25" s="24" t="n">
        <x:v>2</x:v>
      </x:c>
      <x:c r="C25" s="18" t="str">
        <x:v>MiB</x:v>
      </x:c>
      <x:c r="D25" s="18" t="str">
        <x:v>按文件系统开销调整</x:v>
      </x:c>
    </x:row>
    <x:row r="26" ht="32" customHeight="1">
      <x:c r="A26" s="18" t="str">
        <x:v>合计</x:v>
      </x:c>
      <x:c r="B26" s="25" t="n">
        <x:f>SUM(B22:B25)</x:f>
        <x:v>16</x:v>
      </x:c>
      <x:c r="C26" s="18" t="str">
        <x:v>MiB</x:v>
      </x:c>
      <x:c r="D26" s="18" t="str">
        <x:v>与 16 MB 外部 NOR 实际分区核对</x:v>
      </x:c>
    </x:row>
    <x:row r="27" ht="32" customHeight="1">
      <x:c r="A27" s="18"/>
      <x:c r="B27" s="22"/>
      <x:c r="C27" s="18"/>
      <x:c r="D27" s="18"/>
    </x:row>
    <x:row r="28" ht="32" customHeight="1">
      <x:c r="A28" s="18" t="str">
        <x:v>电池容量假设</x:v>
      </x:c>
      <x:c r="B28" s="24" t="n">
        <x:v>400</x:v>
      </x:c>
      <x:c r="C28" s="18" t="str">
        <x:v>mAh</x:v>
      </x:c>
      <x:c r="D28" s="18" t="str">
        <x:v>体积/电芯未选定</x:v>
      </x:c>
    </x:row>
    <x:row r="29" ht="32" customHeight="1">
      <x:c r="A29" s="18" t="str">
        <x:v>标称电压假设</x:v>
      </x:c>
      <x:c r="B29" s="21" t="n">
        <x:v>3.85</x:v>
      </x:c>
      <x:c r="C29" s="18" t="str">
        <x:v>V</x:v>
      </x:c>
      <x:c r="D29" s="18" t="str">
        <x:v>不是充电终止电压</x:v>
      </x:c>
    </x:row>
    <x:row r="30" ht="32" customHeight="1">
      <x:c r="A30" s="18" t="str">
        <x:v>可用能量系数</x:v>
      </x:c>
      <x:c r="B30" s="26" t="n">
        <x:v>0.85</x:v>
      </x:c>
      <x:c r="C30" s="18" t="str">
        <x:v>比例</x:v>
      </x:c>
      <x:c r="D30" s="18" t="str">
        <x:v>简化余量/截止假设</x:v>
      </x:c>
    </x:row>
    <x:row r="31" ht="32" customHeight="1">
      <x:c r="A31" s="18" t="str">
        <x:v>可用能量</x:v>
      </x:c>
      <x:c r="B31" s="22" t="n">
        <x:f>B28*B29*B30</x:f>
        <x:v>1309</x:v>
      </x:c>
      <x:c r="C31" s="18" t="str">
        <x:v>mWh</x:v>
      </x:c>
      <x:c r="D31" s="18" t="str">
        <x:v>按电池端能量计算</x:v>
      </x:c>
    </x:row>
    <x:row r="32" ht="32" customHeight="1">
      <x:c r="A32" s="18" t="str">
        <x:v>工作时长目标</x:v>
      </x:c>
      <x:c r="B32" s="24" t="n">
        <x:v>24</x:v>
      </x:c>
      <x:c r="C32" s="18" t="str">
        <x:v>h</x:v>
      </x:c>
      <x:c r="D32" s="18" t="str">
        <x:v>整机设计目标，非实测续航</x:v>
      </x:c>
    </x:row>
    <x:row r="33" ht="32" customHeight="1">
      <x:c r="A33" s="18" t="str">
        <x:v>允许平均功耗</x:v>
      </x:c>
      <x:c r="B33" s="22" t="n">
        <x:f>B31/B32</x:f>
        <x:v>54.541666666666664</x:v>
      </x:c>
      <x:c r="C33" s="18" t="str">
        <x:v>mW</x:v>
      </x:c>
      <x:c r="D33" s="18" t="str">
        <x:v>电池端口径；不再次扣电源效率</x:v>
      </x:c>
    </x:row>
    <x:row r="34" ht="32" customHeight="1">
      <x:c r="A34" s="18"/>
      <x:c r="B34" s="18"/>
      <x:c r="C34" s="18"/>
      <x:c r="D34" s="18"/>
    </x:row>
    <x:row r="35" ht="32" customHeight="1">
      <x:c r="A35" s="11" t="str">
        <x:v>重点验证</x:v>
      </x:c>
      <x:c r="B35" s="11" t="str">
        <x:v>方法</x:v>
      </x:c>
      <x:c r="C35" s="11"/>
      <x:c r="D35" s="11"/>
    </x:row>
    <x:row r="36" ht="52" customHeight="1">
      <x:c r="A36" s="18" t="str">
        <x:v>内存/时钟</x:v>
      </x:c>
      <x:c r="B36" s="18"/>
      <x:c r="C36" s="18"/>
      <x:c r="D36" s="18" t="str">
        <x:v>主系统先按最高 240 MHz 验证；PSRAM 16+16 MB 不是默认连续单堆。</x:v>
      </x:c>
    </x:row>
    <x:row r="37" ht="52" customHeight="1">
      <x:c r="A37" s="18" t="str">
        <x:v>中断/采样</x:v>
      </x:c>
      <x:c r="B37" s="18"/>
      <x:c r="C37" s="18"/>
      <x:c r="D37" s="18" t="str">
        <x:v>用逻辑分析仪和 FIFO 计数检查采样丢失、I2C 时序、数据单位和时间戳。</x:v>
      </x:c>
    </x:row>
    <x:row r="38" ht="52" customHeight="1">
      <x:c r="A38" s="18" t="str">
        <x:v>显示链路</x:v>
      </x:c>
      <x:c r="B38" s="18"/>
      <x:c r="C38" s="18"/>
      <x:c r="D38" s="18" t="str">
        <x:v>测 QSPI/TE/DMA、帧耗时和触摸响应，确认实际线上像素格式。</x:v>
      </x:c>
    </x:row>
    <x:row r="39" ht="52" customHeight="1">
      <x:c r="A39" s="18" t="str">
        <x:v>离线稳定性</x:v>
      </x:c>
      <x:c r="B39" s="18"/>
      <x:c r="C39" s="18"/>
      <x:c r="D39" s="18" t="str">
        <x:v>测试 RTC、闹钟、掉电记录恢复、看门狗与有线恢复下载。</x:v>
      </x:c>
    </x:row>
    <x:row r="40" ht="52" customHeight="1">
      <x:c r="A40" s="18" t="str">
        <x:v>整机功耗</x:v>
      </x:c>
      <x:c r="B40" s="18"/>
      <x:c r="C40" s="18"/>
      <x:c r="D40" s="18" t="str">
        <x:v>测最终板电池端电流、休眠唤醒及 LED 脉冲；开发板电流不能直接推算整机。</x:v>
      </x:c>
    </x:row>
    <x:row r="41" ht="32" customHeight="1">
      <x:c r="A41" s="16"/>
      <x:c r="B41" s="16"/>
      <x:c r="C41" s="16"/>
      <x:c r="D41" s="1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880000114440918" hidden="0" customWidth="1"/>
    <x:col min="2" max="2" width="34.380001068115234" hidden="0" customWidth="1"/>
    <x:col min="3" max="3" width="68.75" hidden="0" customWidth="1"/>
    <x:col min="4" max="4" width="52.5" hidden="0" customWidth="1"/>
  </x:cols>
  <x:sheetData>
    <x:row r="1" ht="29" customHeight="1">
      <x:c r="A1" s="5" t="str">
        <x:v>资料来源</x:v>
      </x:c>
      <x:c r="B1" s="3"/>
      <x:c r="C1" s="3"/>
      <x:c r="D1" s="3"/>
    </x:row>
    <x:row r="2">
      <x:c r="A2" s="7" t="str">
        <x:v>网页核查：2026-09-11；价格未确认；截图参数仅作为原型候选。</x:v>
      </x:c>
      <x:c r="B2" s="8"/>
      <x:c r="C2" s="8"/>
      <x:c r="D2" s="8"/>
    </x:row>
    <x:row r="3">
      <x:c r="A3" s="3"/>
      <x:c r="B3" s="3"/>
      <x:c r="C3" s="3"/>
      <x:c r="D3" s="3"/>
    </x:row>
    <x:row r="4" ht="32" customHeight="1">
      <x:c r="A4" s="11" t="str">
        <x:v>编号</x:v>
      </x:c>
      <x:c r="B4" s="11" t="str">
        <x:v>资料</x:v>
      </x:c>
      <x:c r="C4" s="11" t="str">
        <x:v>链接/出处</x:v>
      </x:c>
      <x:c r="D4" s="11" t="str">
        <x:v>核实范围</x:v>
      </x:c>
    </x:row>
    <x:row r="5" ht="48" customHeight="1">
      <x:c r="A5" s="12" t="str">
        <x:v>S01</x:v>
      </x:c>
      <x:c r="B5" s="12" t="str">
        <x:v>SF58 开发板官方指南</x:v>
      </x:c>
      <x:c r="C5" s="12" t="str">
        <x:v>https://wiki.sifli.com/board/sf32lb58x/SF32LB58-DevKit-LCD.html</x:v>
      </x:c>
      <x:c r="D5" s="12" t="str">
        <x:v>N16R32N1、USB 转 UART、屏幕接口和板级设计文件。</x:v>
      </x:c>
    </x:row>
    <x:row r="6" ht="60.75" customHeight="1">
      <x:c r="A6" s="13" t="str">
        <x:v>S02</x:v>
      </x:c>
      <x:c r="B6" s="13" t="str">
        <x:v>SF58 硬件设计指南</x:v>
      </x:c>
      <x:c r="C6" s="13" t="str">
        <x:v>https://wiki.sifli.com/en/hardware/SF32LB58x-HW-Application.html</x:v>
      </x:c>
      <x:c r="D6" s="13" t="str">
        <x:v>48 MHz/32.768 kHz、供电域、SF30147C、表冠/马达、PCB 指导。</x:v>
      </x:c>
    </x:row>
    <x:row r="7" ht="60.75" customHeight="1">
      <x:c r="A7" s="12" t="str">
        <x:v>S03</x:v>
      </x:c>
      <x:c r="B7" s="12" t="str">
        <x:v>SiFli SDK</x:v>
      </x:c>
      <x:c r="C7" s="12" t="str">
        <x:v>https://github.com/OpenSiFli/SiFli-SDK</x:v>
      </x:c>
      <x:c r="D7" s="12" t="str">
        <x:v>RT-Thread 与图形框架；采用匹配开发板和屏幕的稳定工程。</x:v>
      </x:c>
    </x:row>
    <x:row r="8" ht="60.75" customHeight="1">
      <x:c r="A8" s="13" t="str">
        <x:v>S04</x:v>
      </x:c>
      <x:c r="B8" s="13" t="str">
        <x:v>SiFli 模组型号指南</x:v>
      </x:c>
      <x:c r="C8" s="13" t="str">
        <x:v>https://wiki.sifli.com/silicon/%E6%A8%A1%E7%BB%84%E5%9E%8B%E5%8F%B7%E6%8C%87%E5%8D%97.html</x:v>
      </x:c>
      <x:c r="D8" s="13" t="str">
        <x:v>SF32LB58-MOD-N16R32N1 为 24×24 mm；16+16 MB PSRAM 与 16 MB 外部 NOR。</x:v>
      </x:c>
    </x:row>
    <x:row r="9" ht="60.75" customHeight="1">
      <x:c r="A9" s="12" t="str">
        <x:v>S05</x:v>
      </x:c>
      <x:c r="B9" s="12" t="str">
        <x:v>SF32LB58X 产品页</x:v>
      </x:c>
      <x:c r="C9" s="12" t="str">
        <x:v>https://www.sifli.com/zh-hans/node/29</x:v>
      </x:c>
      <x:c r="D9" s="12" t="str">
        <x:v>主系统最高 240 MHz；本版不假设所有核心/存储均归 UI 独占。</x:v>
      </x:c>
    </x:row>
    <x:row r="10" ht="60.75" customHeight="1">
      <x:c r="A10" s="13" t="str">
        <x:v>S06</x:v>
      </x:c>
      <x:c r="B10" s="13" t="str">
        <x:v>用户提供的开发板商品截图</x:v>
      </x:c>
      <x:c r="C10" s="13" t="str">
        <x:v>用户提供截图，2026-09-11</x:v>
      </x:c>
      <x:c r="D10" s="13" t="str">
        <x:v>1.85 英寸、390×450、QSPI 显示/I2C 触摸；截图选中 A128R32N1 和板卡项，不能把截图价格当带屏套装报价。</x:v>
      </x:c>
    </x:row>
    <x:row r="11" ht="60.75" customHeight="1">
      <x:c r="A11" s="12" t="str">
        <x:v>S07</x:v>
      </x:c>
      <x:c r="B11" s="12" t="str">
        <x:v>MAXM86146 产品页</x:v>
      </x:c>
      <x:c r="C11" s="12" t="str">
        <x:v>https://www.analog.com/en/products/maxm86146.html</x:v>
      </x:c>
      <x:c r="D11" s="12" t="str">
        <x:v>集成 AFE、算法 MCU、双 PD；还需 LED、运动样本、固件与光学结构。</x:v>
      </x:c>
    </x:row>
    <x:row r="12" ht="60.75" customHeight="1">
      <x:c r="A12" s="13" t="str">
        <x:v>S08</x:v>
      </x:c>
      <x:c r="B12" s="13" t="str">
        <x:v>MAXM86146EVSYS</x:v>
      </x:c>
      <x:c r="C12" s="13" t="str">
        <x:v>https://www.analog.com/en/resources/evaluation-hardware-and-software/evaluation-boards-kits/maxm86146evsys.html</x:v>
      </x:c>
      <x:c r="D12" s="13" t="str">
        <x:v>评估板和固件/GUI 入口；具体价格、库存与下载权限未确认。</x:v>
      </x:c>
    </x:row>
    <x:row r="13" ht="60.75" customHeight="1">
      <x:c r="A13" s="12" t="str">
        <x:v>S09</x:v>
      </x:c>
      <x:c r="B13" s="12" t="str">
        <x:v>MAXM86146EVSYS 电路与用料</x:v>
      </x:c>
      <x:c r="C13" s="12" t="str">
        <x:v>https://www.analog.com/media/en/technical-documentation/data-sheets/maxm86146evsys.pdf</x:v>
      </x:c>
      <x:c r="D13" s="12" t="str">
        <x:v>SFH 7015、两颗绿光 LED、LED 切换电路和供电/时钟参考。</x:v>
      </x:c>
    </x:row>
    <x:row r="14" ht="60.75" customHeight="1">
      <x:c r="A14" s="13" t="str">
        <x:v>S10</x:v>
      </x:c>
      <x:c r="B14" s="13" t="str">
        <x:v>ADI 加速度兼容性 FAQ</x:v>
      </x:c>
      <x:c r="C14" s="13" t="str">
        <x:v>https://ez.analog.com/other-products/a/documents/do21669/what-accelerometers-are-supported-by-the-max32664c-firmware</x:v>
      </x:c>
      <x:c r="D14" s="13" t="str">
        <x:v>新 IMU 需采用主机供数等受支持模式，不是直接替换内置驱动型号。</x:v>
      </x:c>
    </x:row>
    <x:row r="15" ht="60.75" customHeight="1">
      <x:c r="A15" s="12" t="str">
        <x:v>S11</x:v>
      </x:c>
      <x:c r="B15" s="12" t="str">
        <x:v>ST LSM6DSO</x:v>
      </x:c>
      <x:c r="C15" s="12" t="str">
        <x:v>https://www.st.com/en/mems-and-sensors/lsm6dso.html</x:v>
      </x:c>
      <x:c r="D15" s="12" t="str">
        <x:v>在产六轴 IMU，用于运动检测及健康算法的加速度输入候选。</x:v>
      </x:c>
    </x:row>
    <x:row r="16" ht="48" customHeight="1">
      <x:c r="A16" s="13" t="str">
        <x:v>S12</x:v>
      </x:c>
      <x:c r="B16" s="13" t="str">
        <x:v>ST LIS2DS12</x:v>
      </x:c>
      <x:c r="C16" s="13" t="str">
        <x:v>https://www.st.com/en/mems-and-sensors/lis2ds12.html</x:v>
      </x:c>
      <x:c r="D16" s="13" t="str">
        <x:v>官方已列为 Obsolete；不作为新板默认用料。</x:v>
      </x:c>
    </x:row>
    <x:row r="17" ht="48" customHeight="1">
      <x:c r="A17" s="12" t="str">
        <x:v>S13</x:v>
      </x:c>
      <x:c r="B17" s="12" t="str">
        <x:v>TI DRV2605L</x:v>
      </x:c>
      <x:c r="C17" s="12" t="str">
        <x:v>https://www.ti.com/product/DRV2605L</x:v>
      </x:c>
      <x:c r="D17" s="12" t="str">
        <x:v>支持 LRA/ERM 触觉驱动，最终手感须机械和波形调校。</x:v>
      </x:c>
    </x:row>
    <x:row r="18" ht="48" customHeight="1">
      <x:c r="A18" s="13" t="str">
        <x:v>S14</x:v>
      </x:c>
      <x:c r="B18" s="13" t="str">
        <x:v>TI BQ25180</x:v>
      </x:c>
      <x:c r="C18" s="13" t="str">
        <x:v>https://www.ti.com/product/BQ25180</x:v>
      </x:c>
      <x:c r="D18" s="13" t="str">
        <x:v>单节电池充电与电源路径候选，充电参数按实际电芯确定。</x:v>
      </x:c>
    </x:row>
    <x:row r="19" ht="60.75" customHeight="1">
      <x:c r="A19" s="12" t="str">
        <x:v>S15</x:v>
      </x:c>
      <x:c r="B19" s="12" t="str">
        <x:v>奥视特 MIPI 屏候选</x:v>
      </x:c>
      <x:c r="C19" s="12" t="str">
        <x:v>https://www.aoshite.net/productView1_1975.html</x:v>
      </x:c>
      <x:c r="D19" s="12" t="str">
        <x:v>ET020AM03-HT 可作为之后的屏幕评估分支，时序/驱动/现货仍待确认。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2ac2ec5d6e2f4762"/>
  </x:tableParts>
</x:worksheet>
</file>